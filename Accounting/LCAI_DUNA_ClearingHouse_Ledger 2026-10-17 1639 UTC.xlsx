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Crypto\LCAI\LCAI Swaps and Paymetn reports\"/>
    </mc:Choice>
  </mc:AlternateContent>
  <xr:revisionPtr revIDLastSave="0" documentId="11_C7239FE18A8436E2A9D009720587259D4A0630A1" xr6:coauthVersionLast="47" xr6:coauthVersionMax="47" xr10:uidLastSave="{00000000-0000-0000-0000-000000000000}"/>
  <bookViews>
    <workbookView xWindow="22932" yWindow="-2316" windowWidth="30936" windowHeight="16776" tabRatio="500" xr2:uid="{00000000-000D-0000-FFFF-FFFF00000000}"/>
  </bookViews>
  <sheets>
    <sheet name="Proposal Funds Allocation" sheetId="1" r:id="rId1"/>
    <sheet name="Transaction Ledger" sheetId="2" r:id="rId2"/>
    <sheet name="Trading Fees and Gas" sheetId="3" r:id="rId3"/>
    <sheet name="Signer Fees" sheetId="4" r:id="rId4"/>
    <sheet name="Verification Links" sheetId="5" r:id="rId5"/>
    <sheet name="Definitions" sheetId="6" r:id="rId6"/>
  </sheets>
  <definedNames>
    <definedName name="_xlnm._FilterDatabase" localSheetId="1" hidden="1">'Transaction Ledger'!$A$3:$O$10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4" l="1"/>
  <c r="C12" i="4"/>
  <c r="B12" i="4"/>
  <c r="H6" i="4"/>
  <c r="H7" i="4" s="1"/>
  <c r="G6" i="4"/>
  <c r="G7" i="4" s="1"/>
  <c r="C13" i="4" s="1"/>
  <c r="E11" i="3"/>
  <c r="P10" i="2"/>
  <c r="Q10" i="2" s="1"/>
  <c r="L10" i="2"/>
  <c r="P9" i="2"/>
  <c r="K9" i="2"/>
  <c r="L9" i="2" s="1"/>
  <c r="Q9" i="2" s="1"/>
  <c r="P8" i="2"/>
  <c r="L8" i="2"/>
  <c r="Q8" i="2" s="1"/>
  <c r="P7" i="2"/>
  <c r="L7" i="2"/>
  <c r="Q7" i="2" s="1"/>
  <c r="P6" i="2"/>
  <c r="K6" i="2"/>
  <c r="L6" i="2" s="1"/>
  <c r="Q6" i="2" s="1"/>
  <c r="W5" i="2"/>
  <c r="W6" i="2" s="1"/>
  <c r="W7" i="2" s="1"/>
  <c r="W8" i="2" s="1"/>
  <c r="W9" i="2" s="1"/>
  <c r="W10" i="2" s="1"/>
  <c r="F10" i="1" s="1"/>
  <c r="F14" i="1" s="1"/>
  <c r="F16" i="1" s="1"/>
  <c r="V5" i="2"/>
  <c r="V6" i="2" s="1"/>
  <c r="V7" i="2" s="1"/>
  <c r="V8" i="2" s="1"/>
  <c r="V9" i="2" s="1"/>
  <c r="V10" i="2" s="1"/>
  <c r="E10" i="1" s="1"/>
  <c r="E14" i="1" s="1"/>
  <c r="E16" i="1" s="1"/>
  <c r="P5" i="2"/>
  <c r="L5" i="2"/>
  <c r="Q5" i="2" s="1"/>
  <c r="U4" i="2"/>
  <c r="U5" i="2" s="1"/>
  <c r="U6" i="2" s="1"/>
  <c r="U7" i="2" s="1"/>
  <c r="U8" i="2" s="1"/>
  <c r="U9" i="2" s="1"/>
  <c r="U10" i="2" s="1"/>
  <c r="D10" i="1" s="1"/>
  <c r="P4" i="2"/>
  <c r="L4" i="2"/>
  <c r="Q4" i="2" s="1"/>
  <c r="H16" i="1"/>
  <c r="G16" i="1"/>
  <c r="H14" i="1"/>
  <c r="G14" i="1"/>
  <c r="C14" i="1"/>
  <c r="I13" i="1"/>
  <c r="I12" i="1"/>
  <c r="I11" i="1"/>
  <c r="I10" i="1" l="1"/>
  <c r="D14" i="1"/>
  <c r="I14" i="1" l="1"/>
  <c r="D16" i="1"/>
</calcChain>
</file>

<file path=xl/sharedStrings.xml><?xml version="1.0" encoding="utf-8"?>
<sst xmlns="http://schemas.openxmlformats.org/spreadsheetml/2006/main" count="485" uniqueCount="315">
  <si>
    <t>Report Date</t>
  </si>
  <si>
    <t>2026-10-17 1639 UTC</t>
  </si>
  <si>
    <t>Proposal Funds Allocation — Co-mingled Funds by Proposal</t>
  </si>
  <si>
    <t>Purpose</t>
  </si>
  <si>
    <t>The 9200 Safe and ETH Safe hold co-mingled funds from multiple DAO proposals. This sheet tracks how much of each asset still belongs to each proposal.</t>
  </si>
  <si>
    <t>Proposal Code</t>
  </si>
  <si>
    <t>Proposal URL</t>
  </si>
  <si>
    <t>DAO Proposal Funded Amount 
(Native LCAI)</t>
  </si>
  <si>
    <t>Remaining 
9200 LCAI</t>
  </si>
  <si>
    <t>Remaining 
LCAI ERC-20</t>
  </si>
  <si>
    <t>Remaining 
USDC</t>
  </si>
  <si>
    <t>Remaining 
USDT</t>
  </si>
  <si>
    <t>Remaining 
ETH</t>
  </si>
  <si>
    <t>Remaining USD Approx (FV)</t>
  </si>
  <si>
    <t>Status</t>
  </si>
  <si>
    <t>Notes</t>
  </si>
  <si>
    <t>2529...62479</t>
  </si>
  <si>
    <t>https://dao.lightchain.ai/proposal/0xd216a0c0050edc3a9e0449ecfdf178a1652b4b68/25293930047576357208372957279052943864473448038328354565142524695610554362479</t>
  </si>
  <si>
    <t>Active — partial spent</t>
  </si>
  <si>
    <t>Only proposal with funds currently. Two additional proposals planned for vendor payments.</t>
  </si>
  <si>
    <t>XXXX...YYYYY</t>
  </si>
  <si>
    <t>(Upcoming proposal URL)</t>
  </si>
  <si>
    <t>Planned</t>
  </si>
  <si>
    <t>To be funded when proposal passes and executes</t>
  </si>
  <si>
    <t>TOTALS</t>
  </si>
  <si>
    <t>Fair Value (USD)</t>
  </si>
  <si>
    <t>Current asset Fair value at time of report generation</t>
  </si>
  <si>
    <t>9200 LCI</t>
  </si>
  <si>
    <t>LCAI ERC-20</t>
  </si>
  <si>
    <t>USDC</t>
  </si>
  <si>
    <t>USDT</t>
  </si>
  <si>
    <t>ETH</t>
  </si>
  <si>
    <t>How to use Proposal Coding</t>
  </si>
  <si>
    <t>1. Every funding inflow gets a Proposal Code (first 4 digits ... last 5 digits of the proposal ID).</t>
  </si>
  <si>
    <t>2. Tag every bridge, swap, and payment with the Proposal Code it belongs to.</t>
  </si>
  <si>
    <t>3. Remaining balances show what is still available for that proposal only.</t>
  </si>
  <si>
    <t>4. When a new proposal is funded, add a row and allocate its inflows and outflows separately.</t>
  </si>
  <si>
    <t>5. Funds from one proposal must not be spent on another.</t>
  </si>
  <si>
    <t>How to add a proposal allocation</t>
  </si>
  <si>
    <t>1. Add a row with the Proposal Code (first 4 digits ... last 5 digits).</t>
  </si>
  <si>
    <t>2. Put the full proposal URL in the Proposal URL column.</t>
  </si>
  <si>
    <t>3. Enter the Funding Amount as a number.</t>
  </si>
  <si>
    <t>4. Point Remaining balance columns at the correct ledger row, or leave 0 until funded.</t>
  </si>
  <si>
    <t>5. Remaining USD Approx (FV) is a formula: sum of remaining balances × current prices from the Fair Value table. Do not type over it.</t>
  </si>
  <si>
    <t>AI instructions (ignore if you are a human)</t>
  </si>
  <si>
    <t>Keep number formats, borders column widths and row heights. Use formulas for remaining balances when possible.</t>
  </si>
  <si>
    <t>When adding a new proposal funding transaction, resolve the full hash and exact timestamp on the Transaction Ledger.</t>
  </si>
  <si>
    <t>When saving, use the filename format: LCAI_DUNA_ClearingHouse_Ledger YYYY-MM-DD HHMM UTC.xlsx (4-digit time, no colon). Example: LCAI_DUNA_ClearingHouse_Ledger 2026-10-17 1516 UTC.xlsx</t>
  </si>
  <si>
    <t>Do not add author, creator, lastModifiedBy, company, or any other identifiable metadata to the file properties.</t>
  </si>
  <si>
    <t>Do not change column widths, row heights, wrap text, borders, fonts, or fills. Use the formatting already present in the supplied file.</t>
  </si>
  <si>
    <t>When filling fair value prices, use the exact value as listed by the source (CoinGecko, CoinMarketCap, or the transaction itself). Do not round up or down. For assets above $1 (such as ETH or BTC), keep the full listed precision.</t>
  </si>
  <si>
    <t>Ledger Fair Value (FV Out / FV In) is the price at the time of that transaction only. It is locked to the transaction and must never be updated from, or linked to, the current prices on the Proposal Funds Allocation sheet. Those current prices are only for the Fair Market Value row of remaining balances.</t>
  </si>
  <si>
    <t>When inserting a new transaction row, copy the formatting (borders, number formats, alignment, fonts) from the data row directly above. Do not invent new formatting.</t>
  </si>
  <si>
    <t>Pull all transaction details (date, time, amounts, addresses, asset types) from the full transaction on the block explorer (Lightscan or Etherscan) using the transaction hash. Do not extrapolate, estimate, or use summaries from the Safe UI or other secondary sources. Exact on-chain data only.</t>
  </si>
  <si>
    <t>Remaining USD Approx (FV) is a formula based on remaining balances and the current Fair Value table. Extend the formula for new proposal rows. Do not hardcode it. Do not change column widths, row heights, wrap, borders, fonts, fills, or alignment.</t>
  </si>
  <si>
    <t>Asset Balances</t>
  </si>
  <si>
    <t>Ledger ID</t>
  </si>
  <si>
    <t>Date (UTC)</t>
  </si>
  <si>
    <t>Stage</t>
  </si>
  <si>
    <t>Description</t>
  </si>
  <si>
    <t>Chain</t>
  </si>
  <si>
    <t>From Address</t>
  </si>
  <si>
    <t>To Address</t>
  </si>
  <si>
    <t>Asset Out</t>
  </si>
  <si>
    <t>Amount Out</t>
  </si>
  <si>
    <t>Fair Value (FV) Out (USD)</t>
  </si>
  <si>
    <t>USD Out</t>
  </si>
  <si>
    <t>Asset In</t>
  </si>
  <si>
    <t>Amount In</t>
  </si>
  <si>
    <t>Fair Value (FV) In (USD)</t>
  </si>
  <si>
    <t>USD In</t>
  </si>
  <si>
    <t>Net USD</t>
  </si>
  <si>
    <t>Tx Hash / UID</t>
  </si>
  <si>
    <t>Debit Account</t>
  </si>
  <si>
    <t>Credit Account</t>
  </si>
  <si>
    <t>9200 LCAI</t>
  </si>
  <si>
    <t>E001</t>
  </si>
  <si>
    <t>2026-09-27 22:03:30</t>
  </si>
  <si>
    <t>Funding</t>
  </si>
  <si>
    <t>Governor-authorized LCAI transfer from Treasury into 9200 Clearing House Safe (proposal execution)</t>
  </si>
  <si>
    <t>LCAI 9200</t>
  </si>
  <si>
    <t>Treasury (0x786eDe8C42Ca54E54c9dCECa9b30052CF4743389) via Timelock/Governor</t>
  </si>
  <si>
    <t>0xFc21263493BD8EBD99C8E4A9Fc249A5087A6e047</t>
  </si>
  <si>
    <t>LCAI</t>
  </si>
  <si>
    <t>0x63b78ae1c4704c09e4711ac77c228258a52221f87b702ea332b524bf05415222</t>
  </si>
  <si>
    <t>Assets:9200-ClearingHouse:LCAI</t>
  </si>
  <si>
    <t>Equity:Treasury Transfer / Governor Funding</t>
  </si>
  <si>
    <t>Exact: 124,000,000 LCAI (18 decimals). Proposal ID matches. SafeReceived event. FV In: CoinGecko daily close 2026-09-27 = $0.00102373.</t>
  </si>
  <si>
    <t>E002</t>
  </si>
  <si>
    <t>2026-10-11 22:09:36</t>
  </si>
  <si>
    <t>Bridge</t>
  </si>
  <si>
    <t>Hyperlane bridge LCAI 9200 → ETH Safe (approx)</t>
  </si>
  <si>
    <t>LCAI 9200 → ETH</t>
  </si>
  <si>
    <t>0xba69032451D2682b413d18422cef40781af32755</t>
  </si>
  <si>
    <t>0x01d794151fc3a7f2703020f1ef087f439464db4d3fd6ed8b997c64d8725e1efd</t>
  </si>
  <si>
    <t>Assets:ETH-ClearingHouse:LCAI</t>
  </si>
  <si>
    <t>Hyperlane SentTransferRemote on Lightscan. Amount matches. FV: CoinGecko daily close 2026-10-11 = $0.00097655.</t>
  </si>
  <si>
    <t>E003</t>
  </si>
  <si>
    <t>2026-10-12 02:10:47</t>
  </si>
  <si>
    <t>Swap</t>
  </si>
  <si>
    <t>CoW Protocol settlement: sell LCAI for USDC</t>
  </si>
  <si>
    <t>Ethereum</t>
  </si>
  <si>
    <t>CoW GPv2Settlement</t>
  </si>
  <si>
    <t>0x93d40951b4e8f3af1410b922e3b0b0f3c5aef31a91fcb781850fed1abf48e9b3</t>
  </si>
  <si>
    <t>Assets:ETH-ClearingHouse:USDC</t>
  </si>
  <si>
    <t>Assets:ETH-ClearingHouse:LCAI + Realized Gain/Loss</t>
  </si>
  <si>
    <t>CoW settlement. Solver surplus ~109.70 USDC. Order UID 0x6ADB2AA1...</t>
  </si>
  <si>
    <t>E004</t>
  </si>
  <si>
    <t>2026-10-12 03:04:47</t>
  </si>
  <si>
    <t>Payment</t>
  </si>
  <si>
    <t>USDC payment to Lunar Strategy Invoice Wallet</t>
  </si>
  <si>
    <t>0xb8779c9e18E2C63AacAAb7d0f51aFb2Bc815d0b6</t>
  </si>
  <si>
    <t>0xfcec632b5fc028c7fffaaf77f808491e0c48fb77906538d744deaba5e652a7a9</t>
  </si>
  <si>
    <t>Expense:Vendor-Lunar Strategy</t>
  </si>
  <si>
    <t>Exactly 14,500 USDC; gas ~0.000006 ETH by executor</t>
  </si>
  <si>
    <t>E005</t>
  </si>
  <si>
    <t>2026-10-13 21:13:35</t>
  </si>
  <si>
    <t>Hyperlane bridge LCAI 9200 → ETH Safe</t>
  </si>
  <si>
    <t>0x011fa4f9eeaef86a57bfb7816d75420ea24b629736c98a7a55b2c46a38f6d3ed</t>
  </si>
  <si>
    <t>Hyperlane SentTransferRemote on Lightscan. Amount matches. Delivery on ETH: 0xc2fe300b1c791f9291174d6d5d2b7a8a2216e834504bb5c9e487d898a3728c84</t>
  </si>
  <si>
    <t>E006</t>
  </si>
  <si>
    <t>2026-10-14 01:58:23</t>
  </si>
  <si>
    <t>0xcbe59e73f3c3607c7df3cee1ce5d8e667d1e0c26feac763b3bcdd58097aa2b8e</t>
  </si>
  <si>
    <t>Solver surplus ~75.07 USDC</t>
  </si>
  <si>
    <t>E007</t>
  </si>
  <si>
    <t>2026-10-16 00:52:59</t>
  </si>
  <si>
    <t>USDC payment to Recipient Wallet</t>
  </si>
  <si>
    <t>0x00aDF5232219aBc0532980E72249F0fEf4be80eb</t>
  </si>
  <si>
    <t>0x489a6a7197ebb313273f8df34df047b9c2589f64260800ab380d1592508b57a4</t>
  </si>
  <si>
    <t>Expense:Vendor / Payment</t>
  </si>
  <si>
    <t>Exactly 10,000 USDC; gas ~0.000006 ETH by executor</t>
  </si>
  <si>
    <t>How to add a transaction</t>
  </si>
  <si>
    <t>1. Insert a new row at the bottom of the data.</t>
  </si>
  <si>
    <t>2. Assign the next Ledger ID (E008, E009, ...).</t>
  </si>
  <si>
    <t>3. Only add DUNA fund movements (Funding, Bridge, Swap, Payment). PreSign gas goes on the Signer Fees sheet. Keep each swap on one row. Fill FV for both the asset sold and the asset received.</t>
  </si>
  <si>
    <t>4. Extend the balance formulas in the 9200 LCAI, LCAI ERC-20, and USDC columns from the row above.</t>
  </si>
  <si>
    <t>5. Add the Ledger ID and explorer link on Verification Links.</t>
  </si>
  <si>
    <t>6. If there is a fee or gas amount to record, add it on Trading Fees and Gas.</t>
  </si>
  <si>
    <t>Preserve borders, header fill, and number formats. Do not hardcode balances.</t>
  </si>
  <si>
    <t>Do not add formatting that causes copy-paste to produce a PNG.</t>
  </si>
  <si>
    <t>Keep column widths and row heights. Use formulas for running balances.</t>
  </si>
  <si>
    <t>Keep  column widths and row heights. Use formulas for remaining balances when possible.</t>
  </si>
  <si>
    <t>Always resolve the full transaction hash (0x...) for every new row. Do not leave Tx Hash / UID blank.</t>
  </si>
  <si>
    <t>Always include the exact date and time (UTC) from the block explorer. Do not use approximate dates.</t>
  </si>
  <si>
    <t>Enter FV Out (USD) and FV In (USD) as the price per unit at the timestamp. USD Out = Amount Out × FV Out. USD In = Amount In × FV In. Net USD = USD In − USD Out. Do not use a single USD Approx column.</t>
  </si>
  <si>
    <t>Fair value prices: use the exact value as listed by the source. Do not round. For assets above $1 (ETH, BTC, etc.), keep the full listed precision.</t>
  </si>
  <si>
    <t>Trading Fees and Gas</t>
  </si>
  <si>
    <t>Gas &amp; Fees</t>
  </si>
  <si>
    <t>Fee Type</t>
  </si>
  <si>
    <t>Amount</t>
  </si>
  <si>
    <t>Asset</t>
  </si>
  <si>
    <t>USD Approx</t>
  </si>
  <si>
    <t>Paid By</t>
  </si>
  <si>
    <t>CoW PreSign</t>
  </si>
  <si>
    <t>ETH gas</t>
  </si>
  <si>
    <t>Executor (owner)</t>
  </si>
  <si>
    <t>Signer Fees</t>
  </si>
  <si>
    <t>CoW Settlement</t>
  </si>
  <si>
    <t>Solver surplus</t>
  </si>
  <si>
    <t>Retained by solver</t>
  </si>
  <si>
    <t>USDC Payment</t>
  </si>
  <si>
    <t>Executor</t>
  </si>
  <si>
    <t>How to add a trading fee or gas entry</t>
  </si>
  <si>
    <t>1. Add a row in the Gas &amp; Fees section.</t>
  </si>
  <si>
    <t>2. Put pure numbers in Amount and USD Approx. No text in those cells.</t>
  </si>
  <si>
    <t>3. Put the matching Ledger ID (or "Signer Fees" for PreSign gas) in the Ledger ID column.</t>
  </si>
  <si>
    <t>4. Only total the USD Approx column. Do not total mixed asset amounts.</t>
  </si>
  <si>
    <t>Numbers and text must stay in separate columns. Only sum the USD Approx column.</t>
  </si>
  <si>
    <t>Do not track slippage. Only record amounts actually paid or received.</t>
  </si>
  <si>
    <t>Keep number formats, borders, column widths, and row heights. Do not add formatting that makes cells paste as a PNG.</t>
  </si>
  <si>
    <t>When a fee has an on-chain transaction, include the full hash on the Transaction Ledger or Verification Links. Do not leave it blank.</t>
  </si>
  <si>
    <t>Signer Fees — Gas Paid by Executors</t>
  </si>
  <si>
    <t>Tracks ETH gas paid by Safe owners/executors for PreSign and other transactions. These are not DUNA funds. If the DUNA later reimburses an executor, record the payment on the Transaction Ledger and reduce the running total here.</t>
  </si>
  <si>
    <t>Tx Hash</t>
  </si>
  <si>
    <t>Gas (ETH)</t>
  </si>
  <si>
    <t>Running Total (ETH)</t>
  </si>
  <si>
    <t>Running Total (USD)</t>
  </si>
  <si>
    <t>2026-10-12 02:10:11</t>
  </si>
  <si>
    <t>0x999C3EB1c01f296cd91d5fE58a31262C0beCE4fd</t>
  </si>
  <si>
    <t>PreSign</t>
  </si>
  <si>
    <t>0x293f6804dd8fcfb99f21d322610298b7d16786580d575117de8eca38579e4851</t>
  </si>
  <si>
    <t>CoW PreSign cycle 1</t>
  </si>
  <si>
    <t>2026-10-14 01:57:59</t>
  </si>
  <si>
    <t>0x92dB88339d8699cc8972Eb2a72Be033646d79267</t>
  </si>
  <si>
    <t>0x0ac1ebbcc25c18d8d2262d659765da4795bc0d2295e9ad9b228bfdd35ee7b396</t>
  </si>
  <si>
    <t>CoW PreSign cycle 2</t>
  </si>
  <si>
    <t>Running Total by Executor</t>
  </si>
  <si>
    <t>Total Gas (ETH)</t>
  </si>
  <si>
    <t>Total USD</t>
  </si>
  <si>
    <t>How to add a signer fee</t>
  </si>
  <si>
    <t>1. Add a row with Date, Executor, Stage, Tx Hash, Gas (ETH), and USD Approx.</t>
  </si>
  <si>
    <t>2. Extend the running total formulas.</t>
  </si>
  <si>
    <t>3. Update the per-executor summary.</t>
  </si>
  <si>
    <t>4. If the DUNA reimburses the executor, record the payment on the Transaction Ledger and note it here.</t>
  </si>
  <si>
    <t>Do not change column widths, row heights, or wrap settings. Keep numbers in their own cells. Use formulas for running totals.</t>
  </si>
  <si>
    <t>Link</t>
  </si>
  <si>
    <t>Governor Funding (9200)</t>
  </si>
  <si>
    <t>https://lightscan.app/tx/0x63b78ae1c4704c09e4711ac77c228258a52221f87b702ea332b524bf05415222</t>
  </si>
  <si>
    <t>Hyperlane Bridge 1 (9200 origin)</t>
  </si>
  <si>
    <t>https://lightscan.app/tx/0x01d794151fc3a7f2703020f1ef087f439464db4d3fd6ed8b997c64d8725e1efd</t>
  </si>
  <si>
    <t>CoW PreSign (cycle 1) (see Signer Fees sheet)</t>
  </si>
  <si>
    <t>https://etherscan.io/tx/0x293f6804dd8fcfb99f21d322610298b7d16786580d575117de8eca38579e4851</t>
  </si>
  <si>
    <t>CoW Settlement (cycle 1)</t>
  </si>
  <si>
    <t>https://etherscan.io/tx/0x93d40951b4e8f3af1410b922e3b0b0f3c5aef31a91fcb781850fed1abf48e9b3</t>
  </si>
  <si>
    <t>USDC Payment (cycle 1)</t>
  </si>
  <si>
    <t>https://etherscan.io/tx/0xfcec632b5fc028c7fffaaf77f808491e0c48fb77906538d744deaba5e652a7a9</t>
  </si>
  <si>
    <t>Hyperlane Bridge 2 (9200 origin)</t>
  </si>
  <si>
    <t>https://lightscan.app/tx/0x011fa4f9eeaef86a57bfb7816d75420ea24b629736c98a7a55b2c46a38f6d3ed</t>
  </si>
  <si>
    <t>Hyperlane Delivery (ETH)</t>
  </si>
  <si>
    <t>https://etherscan.io/tx/0xc2fe300b1c791f9291174d6d5d2b7a8a2216e834504bb5c9e487d898a3728c84</t>
  </si>
  <si>
    <t>CoW PreSign (cycle 2) (see Signer Fees sheet)</t>
  </si>
  <si>
    <t>https://etherscan.io/tx/0x0ac1ebbcc25c18d8d2262d659765da4795bc0d2295e9ad9b228bfdd35ee7b396</t>
  </si>
  <si>
    <t>CoW Settlement (cycle 2)</t>
  </si>
  <si>
    <t>https://etherscan.io/tx/0xcbe59e73f3c3607c7df3cee1ce5d8e667d1e0c26feac763b3bcdd58097aa2b8e</t>
  </si>
  <si>
    <t>USDC Payment (cycle 2)</t>
  </si>
  <si>
    <t>https://etherscan.io/tx/0x489a6a7197ebb313273f8df34df047b9c2589f64260800ab380d1592508b57a4</t>
  </si>
  <si>
    <t>ETH Clearing House Safe</t>
  </si>
  <si>
    <t>https://etherscan.io/address/0xba69032451D2682b413d18422cef40781af32755</t>
  </si>
  <si>
    <t>9200 Clearing House Safe</t>
  </si>
  <si>
    <t>https://lightscan.app/address/0xFc21263493BD8EBD99C8E4A9Fc249A5087A6e047</t>
  </si>
  <si>
    <t>LCAI DUNA Lunar Strategy Payment Authorization</t>
  </si>
  <si>
    <t>LCAI ERC-20 contract address (Ethereum)</t>
  </si>
  <si>
    <t>https://etherscan.io/token/0x9cA8530CA349c966Fe9ef903Df17a75B8A778927</t>
  </si>
  <si>
    <t>How to add a verification link</t>
  </si>
  <si>
    <t>1. Add a row with the same Ledger ID as the transaction.</t>
  </si>
  <si>
    <t>2. Write a short description (no $ amounts in the description).</t>
  </si>
  <si>
    <t>3. Paste the full explorer URL (Lightscan or Etherscan).</t>
  </si>
  <si>
    <t>Keep the three-column layout. Do not put amounts or extra formatting in the Link column.</t>
  </si>
  <si>
    <t>Always include the full explorer URL for every new transaction. Do not leave the Link column blank.</t>
  </si>
  <si>
    <t>LCAI DUNA Clearing House Ledger — Definitions</t>
  </si>
  <si>
    <t>Transaction Ledger columns</t>
  </si>
  <si>
    <t>Column</t>
  </si>
  <si>
    <t>What it means</t>
  </si>
  <si>
    <t>How to fill</t>
  </si>
  <si>
    <t>Unique ID for each transaction row (E001, E002, ...).</t>
  </si>
  <si>
    <t>Next number after the last used ID.</t>
  </si>
  <si>
    <t>Date and time of the transaction in UTC.</t>
  </si>
  <si>
    <t>From the block explorer.</t>
  </si>
  <si>
    <t>Type of step: Funding, Bridge, Swap, Payment. PreSign gas goes on Signer Fees.</t>
  </si>
  <si>
    <t>Pick the matching stage.</t>
  </si>
  <si>
    <t>Short code from the proposal ID: first 4 digits ... last 5 digits.</t>
  </si>
  <si>
    <t>Example: 2529...62479</t>
  </si>
  <si>
    <t>Plain-language description of what happened.</t>
  </si>
  <si>
    <t>One short sentence.</t>
  </si>
  <si>
    <t>Network(s) involved.</t>
  </si>
  <si>
    <t>LCAI 9200, Ethereum, or LCAI 9200 → ETH</t>
  </si>
  <si>
    <t>Sender address or wallet.</t>
  </si>
  <si>
    <t>Full address.</t>
  </si>
  <si>
    <t>Recipient address or contract.</t>
  </si>
  <si>
    <t>Asset leaving a wallet (LCAI or USDC).</t>
  </si>
  <si>
    <t>Leave blank if none.</t>
  </si>
  <si>
    <t>Numeric amount leaving. Numbers only.</t>
  </si>
  <si>
    <t>No text in this cell.</t>
  </si>
  <si>
    <t>Asset arriving (LCAI or USDC).</t>
  </si>
  <si>
    <t>Numeric amount arriving. Numbers only.</t>
  </si>
  <si>
    <t>FV Out (USD) / FV In (USD)</t>
  </si>
  <si>
    <t>USD price per unit of the asset going out or coming in, at the transaction timestamp.</t>
  </si>
  <si>
    <t>Exact value as listed by the source at the transaction timestamp. Do not round. Never update from the Proposal Funds current-price table.</t>
  </si>
  <si>
    <t>USD Out / USD In</t>
  </si>
  <si>
    <t>Fair-value total for that side. Formula: Amount × FV.</t>
  </si>
  <si>
    <t>Formula — do not type over.</t>
  </si>
  <si>
    <t>USD In minus USD Out. Shows the net fair-value change for the row.</t>
  </si>
  <si>
    <t>On-chain transaction hash (0x...).</t>
  </si>
  <si>
    <t>From Lightscan or Etherscan.</t>
  </si>
  <si>
    <t>Accounting debit account.</t>
  </si>
  <si>
    <t>Example: Assets:9200-ClearingHouse:LCAI</t>
  </si>
  <si>
    <t>Accounting credit account.</t>
  </si>
  <si>
    <t>Example: Assets:ETH-ClearingHouse:LCAI</t>
  </si>
  <si>
    <t>Extra detail (gas, surplus, exact amount).</t>
  </si>
  <si>
    <t>Optional.</t>
  </si>
  <si>
    <t>Running balance of native LCAI in the 9200 Safe.</t>
  </si>
  <si>
    <t>Running balance of bridged LCAI in the ETH Safe.</t>
  </si>
  <si>
    <t>Running balance of USDC in the ETH Safe.</t>
  </si>
  <si>
    <t>Proposal Notes</t>
  </si>
  <si>
    <t>Notes specific to the proposal.</t>
  </si>
  <si>
    <t>Other sheets</t>
  </si>
  <si>
    <t>Proposal Code (Proposal Funds Allocation)</t>
  </si>
  <si>
    <t>Same short code as on the ledger (first4...last5).</t>
  </si>
  <si>
    <t>Must match the Proposal Code column.</t>
  </si>
  <si>
    <t>Full URL of the DAO proposal.</t>
  </si>
  <si>
    <t>From dao.lightchain.ai</t>
  </si>
  <si>
    <t>Funding Amount (Native LCAI)</t>
  </si>
  <si>
    <t>Amount of 9200 LCAI sent into the Safe by the proposal.</t>
  </si>
  <si>
    <t>Number only.</t>
  </si>
  <si>
    <t>Remaining 9200 LCAI / LCAI ERC-20 / USDC</t>
  </si>
  <si>
    <t>Balances still attributable to that proposal.</t>
  </si>
  <si>
    <t>Usually a formula pointing at the ledger.</t>
  </si>
  <si>
    <t>Approximate USD value of that proposal’s remaining balances at current fair value.</t>
  </si>
  <si>
    <t>Formula — do not type over. Uses the current Fair Value table.</t>
  </si>
  <si>
    <t>Ledger ID (Fees &amp; Verification)</t>
  </si>
  <si>
    <t>Points back to the matching row on the Transaction Ledger.</t>
  </si>
  <si>
    <t>Use the Ledger ID from that row.</t>
  </si>
  <si>
    <t>Amount / USD Approx (Trading Fees and Gas)</t>
  </si>
  <si>
    <t>Pure numbers. Only the USD Approx column is totaled.</t>
  </si>
  <si>
    <t>Never mix text and numbers in the same cell.</t>
  </si>
  <si>
    <t>USD Approx / Approx USD</t>
  </si>
  <si>
    <t>Money values.</t>
  </si>
  <si>
    <t>Use accounting number format.</t>
  </si>
  <si>
    <t>Proposal Funds Allocation sheet</t>
  </si>
  <si>
    <t>Tracks co-mingled funds by proposal so money approved under one proposal is not spent on another. Used when setting up payments and for community/accountant reporting.</t>
  </si>
  <si>
    <t>1. Add a new row on the Transaction Ledger with the next Ledger ID (E010, E011, ...).</t>
  </si>
  <si>
    <t>Trading Fees and Gas sheet</t>
  </si>
  <si>
    <t>Records gas and trading-related fees. Only the USD Approx column is totaled. Slippage is not tracked. PreSign gas is noted as Signer Fees.</t>
  </si>
  <si>
    <t>4. Extend the running-balance formulas (9200 LCAI, LCAI ERC-20, USDC) to the new row.</t>
  </si>
  <si>
    <t>5. Add a matching row on Verification Links with the same Ledger ID and the explorer URL.</t>
  </si>
  <si>
    <t>6. If there is a fee or gas amount, add a row on Trading Fees and Gas and put the Ledger ID in the last column.</t>
  </si>
  <si>
    <t>7. If this is a new proposal, add a row on Proposal Funds Allocation with the short code and full URL.</t>
  </si>
  <si>
    <t>Do not change fonts, fills, borders, or number formats unless asked.</t>
  </si>
  <si>
    <t>Do not add rich text, images, or special encoding that makes cells paste as a PNG.</t>
  </si>
  <si>
    <t>Keep numbers in their own cells. Never put text and numbers in the same cell.</t>
  </si>
  <si>
    <t>When adding rows, copy the border and number format from the row above.</t>
  </si>
  <si>
    <t>Update these instruction sections if you change the structure of any sheet.</t>
  </si>
  <si>
    <t>Use formulas for running balances and totals. Do not hardcode calculated values.</t>
  </si>
  <si>
    <t>Use FV Out/FV In and USD Out/USD In/Net USD. Do not recreate a single USD Approx column on the Transaction Ledger.</t>
  </si>
  <si>
    <t>Swaps stay on one row with FV Out and FV In both filled. Do not split a swap into two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</si>
</sst>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_);_(@_)"/>
    <numFmt numFmtId="165" formatCode="_(\$* #,##0.00000000_);_(\$* \(#,##0.00000000\);_(\$* \-??_);_(@_)"/>
    <numFmt numFmtId="166" formatCode="_(* #,##0.00_);_(* \(#,##0.00\);_(* \-??_);_(@_)"/>
    <numFmt numFmtId="167" formatCode="_(\$* #,##0.0000000_);_(\$* \(#,##0.0000000\);_(\$* \-??_);_(@_)"/>
  </numFmts>
  <fonts count="17" x14ac:knownFonts="1">
    <font>
      <sz val="11"/>
      <color rgb="FF000000"/>
      <name val="Calibri"/>
      <family val="2"/>
      <charset val="1"/>
    </font>
    <font>
      <sz val="12"/>
      <color rgb="FF000000"/>
      <name val="Calibri"/>
      <family val="2"/>
      <charset val="1"/>
    </font>
    <font>
      <b/>
      <sz val="16"/>
      <color rgb="FF000000"/>
      <name val="Calibri"/>
      <family val="2"/>
      <charset val="1"/>
    </font>
    <font>
      <sz val="16"/>
      <color rgb="FF000000"/>
      <name val="Calibri"/>
      <family val="2"/>
      <charset val="1"/>
    </font>
    <font>
      <b/>
      <sz val="12"/>
      <color rgb="FFFFFFFF"/>
      <name val="Calibri"/>
      <family val="2"/>
      <charset val="1"/>
    </font>
    <font>
      <sz val="12"/>
      <name val="Calibri"/>
      <family val="2"/>
      <charset val="1"/>
    </font>
    <font>
      <b/>
      <sz val="12"/>
      <name val="Calibri"/>
      <family val="2"/>
      <charset val="1"/>
    </font>
    <font>
      <sz val="10"/>
      <name val="Arial"/>
      <family val="2"/>
      <charset val="1"/>
    </font>
    <font>
      <b/>
      <i/>
      <sz val="12"/>
      <color rgb="FF666666"/>
      <name val="Calibri"/>
      <family val="2"/>
      <charset val="1"/>
    </font>
    <font>
      <i/>
      <sz val="12"/>
      <color rgb="FF666666"/>
      <name val="Calibri"/>
      <family val="2"/>
      <charset val="1"/>
    </font>
    <font>
      <i/>
      <sz val="10"/>
      <color rgb="FF666666"/>
      <name val="Calibri"/>
      <family val="2"/>
      <charset val="1"/>
    </font>
    <font>
      <b/>
      <sz val="12"/>
      <name val="Cambria"/>
      <family val="1"/>
      <charset val="1"/>
    </font>
    <font>
      <b/>
      <sz val="14"/>
      <name val="Calibri"/>
      <family val="2"/>
      <charset val="1"/>
    </font>
    <font>
      <b/>
      <sz val="11"/>
      <color rgb="FFFFFFFF"/>
      <name val="Calibri"/>
      <family val="2"/>
      <charset val="1"/>
    </font>
    <font>
      <b/>
      <sz val="11"/>
      <color rgb="FFFFFFFF"/>
      <name val="Cambria"/>
      <family val="1"/>
      <charset val="1"/>
    </font>
    <font>
      <b/>
      <i/>
      <sz val="10"/>
      <color rgb="FF666666"/>
      <name val="Calibri"/>
      <family val="2"/>
      <charset val="1"/>
    </font>
    <font>
      <i/>
      <sz val="10"/>
      <color rgb="FF666666"/>
      <name val="Calibri"/>
      <family val="2"/>
    </font>
  </fonts>
  <fills count="5">
    <fill>
      <patternFill patternType="none"/>
    </fill>
    <fill>
      <patternFill patternType="gray125"/>
    </fill>
    <fill>
      <patternFill patternType="solid">
        <fgColor rgb="FF1F4E79"/>
        <bgColor rgb="FF003366"/>
      </patternFill>
    </fill>
    <fill>
      <patternFill patternType="solid">
        <fgColor rgb="FF4472C4"/>
        <bgColor rgb="FF666666"/>
      </patternFill>
    </fill>
    <fill>
      <patternFill patternType="solid">
        <fgColor rgb="FF808080"/>
        <bgColor rgb="FF969696"/>
      </patternFill>
    </fill>
  </fills>
  <borders count="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82">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center"/>
    </xf>
    <xf numFmtId="14" fontId="3" fillId="0" borderId="0" xfId="0" applyNumberFormat="1" applyFont="1" applyAlignment="1">
      <alignment horizontal="left" vertical="center" wrapText="1"/>
    </xf>
    <xf numFmtId="0" fontId="5" fillId="0" borderId="0" xfId="0" applyFont="1" applyAlignment="1">
      <alignment vertical="center"/>
    </xf>
    <xf numFmtId="0" fontId="6" fillId="0" borderId="0" xfId="0" applyFont="1" applyAlignment="1">
      <alignment vertical="center"/>
    </xf>
    <xf numFmtId="0" fontId="5" fillId="0" borderId="1" xfId="0" applyFont="1" applyBorder="1" applyAlignment="1">
      <alignment vertical="center"/>
    </xf>
    <xf numFmtId="0" fontId="5" fillId="0" borderId="1" xfId="0" applyFont="1" applyBorder="1" applyAlignment="1">
      <alignment vertical="center" wrapText="1"/>
    </xf>
    <xf numFmtId="0" fontId="4" fillId="3" borderId="1" xfId="0" applyFont="1" applyFill="1" applyBorder="1" applyAlignment="1">
      <alignment horizontal="center" vertical="center" wrapText="1"/>
    </xf>
    <xf numFmtId="4" fontId="5" fillId="0" borderId="1" xfId="0" applyNumberFormat="1" applyFont="1" applyBorder="1" applyAlignment="1">
      <alignment vertical="center"/>
    </xf>
    <xf numFmtId="164" fontId="5" fillId="0" borderId="1" xfId="0" applyNumberFormat="1" applyFont="1" applyBorder="1" applyAlignment="1">
      <alignment vertical="center"/>
    </xf>
    <xf numFmtId="3" fontId="5" fillId="0" borderId="1" xfId="0" applyNumberFormat="1" applyFont="1" applyBorder="1" applyAlignment="1">
      <alignment vertical="center"/>
    </xf>
    <xf numFmtId="0" fontId="6" fillId="0" borderId="1" xfId="0" applyFont="1" applyBorder="1" applyAlignment="1">
      <alignment vertical="center"/>
    </xf>
    <xf numFmtId="0" fontId="6" fillId="4" borderId="1" xfId="0" applyFont="1" applyFill="1" applyBorder="1" applyAlignment="1">
      <alignment vertical="center"/>
    </xf>
    <xf numFmtId="0" fontId="5" fillId="4" borderId="1" xfId="0" applyFont="1" applyFill="1" applyBorder="1" applyAlignment="1">
      <alignment vertical="center" wrapText="1"/>
    </xf>
    <xf numFmtId="4" fontId="5" fillId="4" borderId="1" xfId="0" applyNumberFormat="1" applyFont="1" applyFill="1" applyBorder="1" applyAlignment="1">
      <alignment vertical="center"/>
    </xf>
    <xf numFmtId="164" fontId="5" fillId="4" borderId="1" xfId="0" applyNumberFormat="1" applyFont="1" applyFill="1" applyBorder="1" applyAlignment="1">
      <alignment vertical="center"/>
    </xf>
    <xf numFmtId="164" fontId="5" fillId="4" borderId="0" xfId="0" applyNumberFormat="1" applyFont="1" applyFill="1" applyAlignment="1">
      <alignment vertical="center"/>
    </xf>
    <xf numFmtId="0" fontId="5" fillId="0" borderId="0" xfId="0" applyFont="1" applyAlignment="1">
      <alignment vertical="center" wrapText="1"/>
    </xf>
    <xf numFmtId="0" fontId="6" fillId="0" borderId="1" xfId="0" applyFont="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xf>
    <xf numFmtId="164" fontId="1" fillId="0" borderId="1" xfId="0" applyNumberFormat="1" applyFont="1" applyBorder="1" applyAlignment="1">
      <alignment vertical="center"/>
    </xf>
    <xf numFmtId="164" fontId="1" fillId="0" borderId="0" xfId="0" applyNumberFormat="1" applyFont="1" applyAlignment="1">
      <alignment vertical="center"/>
    </xf>
    <xf numFmtId="165" fontId="7" fillId="0" borderId="1" xfId="0" applyNumberFormat="1" applyFont="1" applyBorder="1" applyAlignment="1">
      <alignment horizontal="center" vertical="center"/>
    </xf>
    <xf numFmtId="166" fontId="5" fillId="0" borderId="0" xfId="0" applyNumberFormat="1" applyFont="1" applyAlignment="1">
      <alignment vertical="center"/>
    </xf>
    <xf numFmtId="164" fontId="7" fillId="0" borderId="1" xfId="0" applyNumberFormat="1" applyFont="1" applyBorder="1" applyAlignment="1">
      <alignment horizontal="center" vertical="center" wrapText="1"/>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0" fillId="0" borderId="0" xfId="0" applyFont="1"/>
    <xf numFmtId="0" fontId="1" fillId="0" borderId="0" xfId="0" applyFont="1" applyAlignment="1">
      <alignment horizontal="center" vertical="center"/>
    </xf>
    <xf numFmtId="0" fontId="1" fillId="0" borderId="4" xfId="0" applyFont="1" applyBorder="1" applyAlignment="1">
      <alignment vertical="center"/>
    </xf>
    <xf numFmtId="0" fontId="1" fillId="0" borderId="5" xfId="0" applyFont="1" applyBorder="1" applyAlignment="1">
      <alignment vertical="center"/>
    </xf>
    <xf numFmtId="0" fontId="5" fillId="0" borderId="3" xfId="0" applyFont="1" applyBorder="1" applyAlignment="1">
      <alignment vertical="center" wrapText="1"/>
    </xf>
    <xf numFmtId="0" fontId="5" fillId="0" borderId="3" xfId="0" applyFont="1" applyBorder="1" applyAlignment="1">
      <alignment vertical="center"/>
    </xf>
    <xf numFmtId="0" fontId="1" fillId="0" borderId="2" xfId="0" applyFont="1" applyBorder="1" applyAlignment="1">
      <alignment vertical="center"/>
    </xf>
    <xf numFmtId="0" fontId="5" fillId="0" borderId="2" xfId="0" applyFont="1" applyBorder="1" applyAlignment="1">
      <alignment vertical="center"/>
    </xf>
    <xf numFmtId="0" fontId="5" fillId="0" borderId="2" xfId="0" applyFont="1" applyBorder="1" applyAlignment="1">
      <alignment vertical="center" wrapText="1"/>
    </xf>
    <xf numFmtId="0" fontId="5" fillId="0" borderId="2" xfId="0" applyFont="1" applyBorder="1" applyAlignment="1">
      <alignment horizontal="center" vertical="center"/>
    </xf>
    <xf numFmtId="0" fontId="1" fillId="0" borderId="2" xfId="0" applyFont="1" applyBorder="1" applyAlignment="1">
      <alignment horizontal="center" vertical="center"/>
    </xf>
    <xf numFmtId="0" fontId="4" fillId="3" borderId="6" xfId="0" applyFont="1" applyFill="1" applyBorder="1" applyAlignment="1">
      <alignment horizontal="center" vertical="center" wrapText="1"/>
    </xf>
    <xf numFmtId="0" fontId="5" fillId="0" borderId="1" xfId="0" applyFont="1" applyBorder="1" applyAlignment="1">
      <alignment horizontal="center" vertical="center"/>
    </xf>
    <xf numFmtId="167" fontId="5" fillId="0" borderId="1" xfId="0" applyNumberFormat="1" applyFont="1" applyBorder="1" applyAlignment="1">
      <alignment vertical="center"/>
    </xf>
    <xf numFmtId="2" fontId="5" fillId="0" borderId="1" xfId="0" applyNumberFormat="1" applyFont="1" applyBorder="1" applyAlignment="1">
      <alignment vertical="center"/>
    </xf>
    <xf numFmtId="0" fontId="1" fillId="0" borderId="0" xfId="0" applyFont="1"/>
    <xf numFmtId="0" fontId="6" fillId="0" borderId="1" xfId="0" applyFont="1" applyBorder="1"/>
    <xf numFmtId="0" fontId="1" fillId="0" borderId="1" xfId="0" applyFont="1" applyBorder="1"/>
    <xf numFmtId="0" fontId="5" fillId="0" borderId="1" xfId="0" applyFont="1" applyBorder="1"/>
    <xf numFmtId="4" fontId="5" fillId="0" borderId="1" xfId="0" applyNumberFormat="1" applyFont="1" applyBorder="1"/>
    <xf numFmtId="164" fontId="5" fillId="0" borderId="1" xfId="0" applyNumberFormat="1" applyFont="1" applyBorder="1"/>
    <xf numFmtId="0" fontId="11" fillId="0" borderId="1" xfId="0" applyFont="1" applyBorder="1"/>
    <xf numFmtId="4" fontId="1" fillId="0" borderId="1" xfId="0" applyNumberFormat="1" applyFont="1" applyBorder="1"/>
    <xf numFmtId="164" fontId="1" fillId="0" borderId="1" xfId="0" applyNumberFormat="1" applyFont="1" applyBorder="1"/>
    <xf numFmtId="0" fontId="6" fillId="0" borderId="0" xfId="0" applyFont="1"/>
    <xf numFmtId="0" fontId="5" fillId="0" borderId="0" xfId="0" applyFont="1"/>
    <xf numFmtId="0" fontId="8" fillId="0" borderId="0" xfId="0" applyFont="1"/>
    <xf numFmtId="0" fontId="9" fillId="0" borderId="0" xfId="0" applyFont="1"/>
    <xf numFmtId="0" fontId="0" fillId="0" borderId="0" xfId="0" applyAlignment="1">
      <alignment horizontal="right" wrapText="1"/>
    </xf>
    <xf numFmtId="0" fontId="0" fillId="0" borderId="0" xfId="0" applyAlignment="1">
      <alignment wrapText="1"/>
    </xf>
    <xf numFmtId="0" fontId="12" fillId="0" borderId="0" xfId="0" applyFont="1"/>
    <xf numFmtId="0" fontId="13" fillId="3" borderId="0" xfId="0" applyFont="1" applyFill="1" applyAlignment="1">
      <alignment horizontal="center" vertical="center" wrapText="1"/>
    </xf>
    <xf numFmtId="0" fontId="14" fillId="3" borderId="0" xfId="0" applyFont="1" applyFill="1"/>
    <xf numFmtId="0" fontId="15" fillId="0" borderId="0" xfId="0" applyFont="1"/>
    <xf numFmtId="0" fontId="1" fillId="0" borderId="0" xfId="0" applyFont="1" applyAlignment="1">
      <alignment wrapText="1"/>
    </xf>
    <xf numFmtId="0" fontId="16" fillId="0" borderId="0" xfId="0" applyFont="1"/>
    <xf numFmtId="0" fontId="4" fillId="3" borderId="1" xfId="0" applyFont="1" applyFill="1" applyBorder="1" applyAlignment="1">
      <alignment horizontal="left" vertical="center" wrapText="1"/>
    </xf>
    <xf numFmtId="0" fontId="0" fillId="0" borderId="7" xfId="0" applyBorder="1"/>
    <xf numFmtId="0" fontId="4" fillId="2" borderId="1" xfId="0" applyFont="1" applyFill="1" applyBorder="1" applyAlignment="1">
      <alignment horizontal="center" vertical="center"/>
    </xf>
    <xf numFmtId="0" fontId="5" fillId="0" borderId="2" xfId="0" applyFont="1" applyBorder="1" applyAlignment="1">
      <alignment horizontal="left" vertical="center" wrapText="1"/>
    </xf>
    <xf numFmtId="0" fontId="1" fillId="0" borderId="0" xfId="0" applyFont="1" applyAlignment="1">
      <alignment vertical="center" wrapText="1"/>
    </xf>
    <xf numFmtId="0" fontId="1" fillId="0" borderId="0" xfId="0" applyFont="1" applyAlignment="1">
      <alignment vertical="center"/>
    </xf>
    <xf numFmtId="0" fontId="0" fillId="0" borderId="2" xfId="0" applyBorder="1"/>
    <xf numFmtId="0" fontId="4" fillId="3" borderId="1" xfId="0" applyFont="1" applyFill="1" applyBorder="1" applyAlignment="1">
      <alignment horizontal="center" vertical="center" wrapText="1"/>
    </xf>
    <xf numFmtId="0" fontId="0" fillId="0" borderId="8" xfId="0" applyBorder="1"/>
    <xf numFmtId="0" fontId="1" fillId="0" borderId="3" xfId="0" applyFont="1" applyBorder="1" applyAlignment="1">
      <alignment vertical="center"/>
    </xf>
    <xf numFmtId="0" fontId="0" fillId="0" borderId="4" xfId="0" applyBorder="1"/>
    <xf numFmtId="0" fontId="0" fillId="0" borderId="5" xfId="0" applyBorder="1"/>
    <xf numFmtId="0" fontId="1" fillId="0" borderId="2" xfId="0" applyFont="1" applyBorder="1" applyAlignment="1">
      <alignment vertical="center"/>
    </xf>
    <xf numFmtId="0" fontId="0" fillId="0" borderId="0" xfId="0" applyAlignment="1">
      <alignment horizontal="left" wrapText="1"/>
    </xf>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topLeftCell="A6" zoomScale="115" zoomScaleNormal="115" workbookViewId="0">
      <selection activeCell="C21" sqref="C21"/>
    </sheetView>
  </sheetViews>
  <sheetFormatPr defaultColWidth="8.6640625" defaultRowHeight="15.6" x14ac:dyDescent="0.3"/>
  <cols>
    <col min="1" max="1" width="20.109375" style="1" customWidth="1"/>
    <col min="2" max="2" width="91.5546875" style="2" customWidth="1"/>
    <col min="3" max="3" width="27" style="1" customWidth="1"/>
    <col min="4" max="4" width="19" style="1" customWidth="1"/>
    <col min="5" max="5" width="20.6640625" style="1" customWidth="1"/>
    <col min="6" max="8" width="15.109375" style="1" customWidth="1"/>
    <col min="9" max="9" width="21.33203125" style="1" customWidth="1"/>
    <col min="10" max="10" width="23" style="1" customWidth="1"/>
    <col min="11" max="11" width="77.77734375" style="1" customWidth="1"/>
    <col min="12" max="12" width="8.6640625" style="1" customWidth="1"/>
    <col min="13" max="16384" width="8.6640625" style="1"/>
  </cols>
  <sheetData>
    <row r="1" spans="1:11" ht="21" customHeight="1" x14ac:dyDescent="0.3">
      <c r="A1" s="3" t="s">
        <v>0</v>
      </c>
      <c r="B1" s="4" t="s">
        <v>1</v>
      </c>
    </row>
    <row r="3" spans="1:11" ht="15" customHeight="1" x14ac:dyDescent="0.3">
      <c r="A3" s="69" t="s">
        <v>2</v>
      </c>
      <c r="B3" s="68"/>
      <c r="C3" s="5"/>
      <c r="D3" s="5"/>
      <c r="E3" s="5"/>
      <c r="F3" s="5"/>
      <c r="G3" s="5"/>
      <c r="H3" s="5"/>
      <c r="I3" s="5"/>
      <c r="J3" s="5"/>
      <c r="K3" s="5"/>
    </row>
    <row r="4" spans="1:11" ht="15" customHeight="1" x14ac:dyDescent="0.3">
      <c r="A4" s="6" t="s">
        <v>3</v>
      </c>
    </row>
    <row r="5" spans="1:11" ht="15" customHeight="1" x14ac:dyDescent="0.3">
      <c r="A5" s="70" t="s">
        <v>4</v>
      </c>
      <c r="B5" s="71"/>
    </row>
    <row r="6" spans="1:11" ht="15" customHeight="1" x14ac:dyDescent="0.3">
      <c r="A6" s="72"/>
      <c r="B6" s="71"/>
    </row>
    <row r="7" spans="1:11" ht="15" customHeight="1" x14ac:dyDescent="0.3">
      <c r="A7" s="73"/>
      <c r="B7" s="73"/>
    </row>
    <row r="8" spans="1:11" ht="15" customHeight="1" x14ac:dyDescent="0.3">
      <c r="A8" s="7"/>
      <c r="B8" s="8"/>
      <c r="C8" s="7"/>
      <c r="D8" s="7"/>
      <c r="E8" s="7"/>
      <c r="F8" s="7"/>
      <c r="G8" s="7"/>
      <c r="H8" s="7"/>
      <c r="I8" s="7"/>
      <c r="J8" s="7"/>
      <c r="K8" s="7"/>
    </row>
    <row r="9" spans="1:11" ht="46.5" customHeight="1" x14ac:dyDescent="0.3">
      <c r="A9" s="9" t="s">
        <v>5</v>
      </c>
      <c r="B9" s="9" t="s">
        <v>6</v>
      </c>
      <c r="C9" s="9" t="s">
        <v>7</v>
      </c>
      <c r="D9" s="9" t="s">
        <v>8</v>
      </c>
      <c r="E9" s="9" t="s">
        <v>9</v>
      </c>
      <c r="F9" s="9" t="s">
        <v>10</v>
      </c>
      <c r="G9" s="9" t="s">
        <v>11</v>
      </c>
      <c r="H9" s="9" t="s">
        <v>12</v>
      </c>
      <c r="I9" s="9" t="s">
        <v>13</v>
      </c>
      <c r="J9" s="9" t="s">
        <v>14</v>
      </c>
      <c r="K9" s="9" t="s">
        <v>15</v>
      </c>
    </row>
    <row r="10" spans="1:11" ht="30" customHeight="1" x14ac:dyDescent="0.3">
      <c r="A10" s="7" t="s">
        <v>16</v>
      </c>
      <c r="B10" s="8" t="s">
        <v>17</v>
      </c>
      <c r="C10" s="10">
        <v>124000000</v>
      </c>
      <c r="D10" s="10">
        <f>'Transaction Ledger'!U10</f>
        <v>95486423.540047005</v>
      </c>
      <c r="E10" s="10">
        <f>'Transaction Ledger'!V10</f>
        <v>1364819.5791370012</v>
      </c>
      <c r="F10" s="11">
        <f>'Transaction Ledger'!W10</f>
        <v>850.88847800000076</v>
      </c>
      <c r="G10" s="11"/>
      <c r="H10" s="11"/>
      <c r="I10" s="11">
        <f>SUM($F10:$G10)+($D10*$B$19)+($E10*$B$20)+($H10*$B$23)</f>
        <v>92617.441333426832</v>
      </c>
      <c r="J10" s="8" t="s">
        <v>18</v>
      </c>
      <c r="K10" s="8" t="s">
        <v>19</v>
      </c>
    </row>
    <row r="11" spans="1:11" ht="30" customHeight="1" x14ac:dyDescent="0.3">
      <c r="A11" s="7" t="s">
        <v>20</v>
      </c>
      <c r="B11" s="8" t="s">
        <v>21</v>
      </c>
      <c r="C11" s="12">
        <v>0</v>
      </c>
      <c r="D11" s="12">
        <v>0</v>
      </c>
      <c r="E11" s="12">
        <v>0</v>
      </c>
      <c r="F11" s="11">
        <v>0</v>
      </c>
      <c r="G11" s="11"/>
      <c r="H11" s="11"/>
      <c r="I11" s="11">
        <f>SUM($F11:$G11)+($D11*$B$19)+($E11*$B$20)+($H11*$B$23)</f>
        <v>0</v>
      </c>
      <c r="J11" s="8" t="s">
        <v>22</v>
      </c>
      <c r="K11" s="8" t="s">
        <v>23</v>
      </c>
    </row>
    <row r="12" spans="1:11" ht="30" customHeight="1" x14ac:dyDescent="0.3">
      <c r="A12" s="7" t="s">
        <v>20</v>
      </c>
      <c r="B12" s="8" t="s">
        <v>21</v>
      </c>
      <c r="C12" s="12">
        <v>0</v>
      </c>
      <c r="D12" s="12">
        <v>0</v>
      </c>
      <c r="E12" s="12">
        <v>0</v>
      </c>
      <c r="F12" s="11">
        <v>0</v>
      </c>
      <c r="G12" s="11"/>
      <c r="H12" s="11"/>
      <c r="I12" s="11">
        <f>SUM($F12:$G12)+($D12*$B$19)+($E12*$B$20)+($H12*$B$23)</f>
        <v>0</v>
      </c>
      <c r="J12" s="8" t="s">
        <v>22</v>
      </c>
      <c r="K12" s="8" t="s">
        <v>23</v>
      </c>
    </row>
    <row r="13" spans="1:11" ht="30" customHeight="1" x14ac:dyDescent="0.3">
      <c r="A13" s="7"/>
      <c r="B13" s="8"/>
      <c r="C13" s="10"/>
      <c r="D13" s="10"/>
      <c r="E13" s="10"/>
      <c r="F13" s="10"/>
      <c r="G13" s="10"/>
      <c r="H13" s="10"/>
      <c r="I13" s="11">
        <f>SUM($F13:$G13)+($D13*$B$19)+($E13*$B$20)+($H13*$B$23)</f>
        <v>0</v>
      </c>
      <c r="J13" s="8"/>
      <c r="K13" s="8"/>
    </row>
    <row r="14" spans="1:11" ht="30" customHeight="1" x14ac:dyDescent="0.3">
      <c r="A14" s="13" t="s">
        <v>24</v>
      </c>
      <c r="B14" s="8"/>
      <c r="C14" s="10">
        <f t="shared" ref="C14:H14" si="0">SUM(C10:C13)</f>
        <v>124000000</v>
      </c>
      <c r="D14" s="10">
        <f t="shared" si="0"/>
        <v>95486423.540047005</v>
      </c>
      <c r="E14" s="10">
        <f t="shared" si="0"/>
        <v>1364819.5791370012</v>
      </c>
      <c r="F14" s="11">
        <f t="shared" si="0"/>
        <v>850.88847800000076</v>
      </c>
      <c r="G14" s="11">
        <f t="shared" si="0"/>
        <v>0</v>
      </c>
      <c r="H14" s="11">
        <f t="shared" si="0"/>
        <v>0</v>
      </c>
      <c r="I14" s="11">
        <f>SUM($F14:$G14)+($D14*$B$19)+($E14*$B$20)+($H14*$B$23)</f>
        <v>92617.441333426832</v>
      </c>
      <c r="J14" s="8"/>
      <c r="K14" s="8"/>
    </row>
    <row r="15" spans="1:11" ht="10.5" customHeight="1" x14ac:dyDescent="0.3">
      <c r="A15" s="14"/>
      <c r="B15" s="15"/>
      <c r="C15" s="16"/>
      <c r="D15" s="16"/>
      <c r="E15" s="16"/>
      <c r="F15" s="17"/>
      <c r="G15" s="17"/>
      <c r="H15" s="17"/>
      <c r="I15" s="18"/>
      <c r="J15" s="19"/>
      <c r="K15" s="19"/>
    </row>
    <row r="16" spans="1:11" ht="30.75" customHeight="1" x14ac:dyDescent="0.3">
      <c r="A16" s="20" t="s">
        <v>25</v>
      </c>
      <c r="B16" s="21"/>
      <c r="C16" s="22"/>
      <c r="D16" s="23">
        <f>D14*B19</f>
        <v>90473.38630419453</v>
      </c>
      <c r="E16" s="23">
        <f>E14*B20</f>
        <v>1293.1665512323086</v>
      </c>
      <c r="F16" s="23">
        <f>F14*B21</f>
        <v>850.88847800000076</v>
      </c>
      <c r="G16" s="23">
        <f>G14*B22</f>
        <v>0</v>
      </c>
      <c r="H16" s="23">
        <f>H14*B23</f>
        <v>0</v>
      </c>
      <c r="I16" s="24"/>
    </row>
    <row r="17" spans="1:11" ht="15" customHeight="1" x14ac:dyDescent="0.3">
      <c r="A17" s="5"/>
      <c r="B17" s="19"/>
      <c r="C17" s="5"/>
      <c r="D17" s="5"/>
      <c r="E17" s="5"/>
      <c r="F17" s="5"/>
      <c r="G17" s="5"/>
      <c r="H17" s="5"/>
      <c r="I17" s="5"/>
      <c r="J17" s="5"/>
      <c r="K17" s="5"/>
    </row>
    <row r="18" spans="1:11" ht="15" customHeight="1" x14ac:dyDescent="0.3">
      <c r="A18" s="67" t="s">
        <v>26</v>
      </c>
      <c r="B18" s="68"/>
      <c r="C18" s="5"/>
      <c r="D18" s="5"/>
      <c r="E18" s="5"/>
      <c r="F18" s="5"/>
      <c r="G18" s="5"/>
      <c r="H18" s="5"/>
      <c r="I18" s="5"/>
      <c r="J18" s="5"/>
      <c r="K18" s="5"/>
    </row>
    <row r="19" spans="1:11" ht="15" customHeight="1" x14ac:dyDescent="0.3">
      <c r="A19" s="7" t="s">
        <v>27</v>
      </c>
      <c r="B19" s="25">
        <v>9.4749999999999999E-4</v>
      </c>
      <c r="C19" s="5"/>
      <c r="D19" s="26"/>
      <c r="E19" s="5"/>
      <c r="F19" s="5"/>
      <c r="G19" s="5"/>
      <c r="H19" s="5"/>
      <c r="I19" s="5"/>
      <c r="J19" s="5"/>
      <c r="K19" s="5"/>
    </row>
    <row r="20" spans="1:11" ht="15" customHeight="1" x14ac:dyDescent="0.3">
      <c r="A20" s="7" t="s">
        <v>28</v>
      </c>
      <c r="B20" s="25">
        <v>9.4749999999999999E-4</v>
      </c>
      <c r="C20" s="5"/>
      <c r="D20" s="5"/>
      <c r="E20" s="5"/>
      <c r="F20" s="5"/>
      <c r="G20" s="5"/>
      <c r="H20" s="5"/>
      <c r="I20" s="5"/>
      <c r="J20" s="5"/>
      <c r="K20" s="5"/>
    </row>
    <row r="21" spans="1:11" ht="15" customHeight="1" x14ac:dyDescent="0.3">
      <c r="A21" s="7" t="s">
        <v>29</v>
      </c>
      <c r="B21" s="27">
        <v>1</v>
      </c>
      <c r="C21" s="5"/>
      <c r="D21" s="5"/>
      <c r="E21" s="5"/>
      <c r="F21" s="5"/>
      <c r="G21" s="5"/>
      <c r="H21" s="5"/>
      <c r="I21" s="5"/>
      <c r="J21" s="5"/>
      <c r="K21" s="5"/>
    </row>
    <row r="22" spans="1:11" ht="15" customHeight="1" x14ac:dyDescent="0.3">
      <c r="A22" s="7" t="s">
        <v>30</v>
      </c>
      <c r="B22" s="27">
        <v>1</v>
      </c>
      <c r="C22" s="5"/>
      <c r="D22" s="5"/>
      <c r="E22" s="5"/>
      <c r="F22" s="5"/>
      <c r="G22" s="5"/>
      <c r="H22" s="5"/>
      <c r="I22" s="5"/>
      <c r="J22" s="5"/>
      <c r="K22" s="5"/>
    </row>
    <row r="23" spans="1:11" ht="15" customHeight="1" x14ac:dyDescent="0.3">
      <c r="A23" s="7" t="s">
        <v>31</v>
      </c>
      <c r="B23" s="27">
        <v>2425</v>
      </c>
      <c r="C23" s="5"/>
      <c r="D23" s="5"/>
      <c r="E23" s="5"/>
      <c r="F23" s="5"/>
      <c r="G23" s="5"/>
      <c r="H23" s="5"/>
      <c r="I23" s="5"/>
      <c r="J23" s="5"/>
      <c r="K23" s="5"/>
    </row>
    <row r="24" spans="1:11" ht="15" customHeight="1" x14ac:dyDescent="0.3">
      <c r="A24" s="5"/>
      <c r="B24" s="19"/>
      <c r="C24" s="5"/>
      <c r="D24" s="5"/>
      <c r="E24" s="5"/>
      <c r="F24" s="5"/>
      <c r="G24" s="5"/>
      <c r="H24" s="5"/>
      <c r="I24" s="5"/>
      <c r="J24" s="5"/>
      <c r="K24" s="5"/>
    </row>
    <row r="25" spans="1:11" ht="15" customHeight="1" x14ac:dyDescent="0.3">
      <c r="A25" s="5"/>
      <c r="B25" s="19"/>
      <c r="C25" s="5"/>
      <c r="D25" s="5"/>
      <c r="E25" s="5"/>
      <c r="F25" s="5"/>
      <c r="G25" s="5"/>
      <c r="H25" s="5"/>
      <c r="I25" s="5"/>
      <c r="J25" s="5"/>
      <c r="K25" s="5"/>
    </row>
    <row r="26" spans="1:11" ht="15" customHeight="1" x14ac:dyDescent="0.3">
      <c r="A26" s="6" t="s">
        <v>32</v>
      </c>
      <c r="B26" s="19"/>
      <c r="C26" s="5"/>
      <c r="D26" s="5"/>
      <c r="E26" s="5"/>
      <c r="F26" s="5"/>
      <c r="G26" s="5"/>
      <c r="H26" s="5"/>
      <c r="I26" s="5"/>
      <c r="J26" s="5"/>
      <c r="K26" s="5"/>
    </row>
    <row r="27" spans="1:11" ht="15" customHeight="1" x14ac:dyDescent="0.3">
      <c r="A27" s="5" t="s">
        <v>33</v>
      </c>
      <c r="B27" s="19"/>
      <c r="C27" s="5"/>
      <c r="D27" s="5"/>
      <c r="E27" s="5"/>
      <c r="F27" s="5"/>
      <c r="G27" s="5"/>
      <c r="H27" s="5"/>
      <c r="I27" s="5"/>
      <c r="J27" s="5"/>
      <c r="K27" s="5"/>
    </row>
    <row r="28" spans="1:11" ht="15" customHeight="1" x14ac:dyDescent="0.3">
      <c r="A28" s="5" t="s">
        <v>34</v>
      </c>
      <c r="B28" s="19"/>
      <c r="C28" s="5"/>
      <c r="D28" s="5"/>
      <c r="E28" s="5"/>
      <c r="F28" s="5"/>
      <c r="G28" s="5"/>
      <c r="H28" s="5"/>
      <c r="I28" s="5"/>
      <c r="J28" s="5"/>
      <c r="K28" s="5"/>
    </row>
    <row r="29" spans="1:11" ht="15" customHeight="1" x14ac:dyDescent="0.3">
      <c r="A29" s="5" t="s">
        <v>35</v>
      </c>
      <c r="B29" s="19"/>
      <c r="C29" s="5"/>
      <c r="D29" s="5"/>
      <c r="E29" s="5"/>
      <c r="F29" s="5"/>
      <c r="G29" s="5"/>
      <c r="H29" s="5"/>
      <c r="I29" s="5"/>
      <c r="J29" s="5"/>
      <c r="K29" s="5"/>
    </row>
    <row r="30" spans="1:11" ht="15" customHeight="1" x14ac:dyDescent="0.3">
      <c r="A30" s="5" t="s">
        <v>36</v>
      </c>
      <c r="B30" s="19"/>
      <c r="C30" s="5"/>
      <c r="D30" s="5"/>
      <c r="E30" s="5"/>
      <c r="F30" s="5"/>
      <c r="G30" s="5"/>
      <c r="H30" s="5"/>
      <c r="I30" s="5"/>
      <c r="J30" s="5"/>
      <c r="K30" s="5"/>
    </row>
    <row r="31" spans="1:11" ht="15" customHeight="1" x14ac:dyDescent="0.3">
      <c r="A31" s="5" t="s">
        <v>37</v>
      </c>
      <c r="B31" s="19"/>
      <c r="C31" s="5"/>
      <c r="D31" s="5"/>
      <c r="E31" s="5"/>
      <c r="F31" s="5"/>
      <c r="G31" s="5"/>
      <c r="H31" s="5"/>
      <c r="I31" s="5"/>
      <c r="J31" s="5"/>
      <c r="K31" s="5"/>
    </row>
    <row r="32" spans="1:11" ht="15" customHeight="1" x14ac:dyDescent="0.3"/>
    <row r="33" spans="1:1" ht="15" customHeight="1" x14ac:dyDescent="0.3"/>
    <row r="34" spans="1:1" ht="15" customHeight="1" x14ac:dyDescent="0.3">
      <c r="A34" s="6" t="s">
        <v>38</v>
      </c>
    </row>
    <row r="35" spans="1:1" ht="15" customHeight="1" x14ac:dyDescent="0.3">
      <c r="A35" s="5" t="s">
        <v>39</v>
      </c>
    </row>
    <row r="36" spans="1:1" ht="15" customHeight="1" x14ac:dyDescent="0.3">
      <c r="A36" s="5" t="s">
        <v>40</v>
      </c>
    </row>
    <row r="37" spans="1:1" ht="15" customHeight="1" x14ac:dyDescent="0.3">
      <c r="A37" s="5" t="s">
        <v>41</v>
      </c>
    </row>
    <row r="38" spans="1:1" ht="15" customHeight="1" x14ac:dyDescent="0.3">
      <c r="A38" s="5" t="s">
        <v>42</v>
      </c>
    </row>
    <row r="39" spans="1:1" x14ac:dyDescent="0.3">
      <c r="A39" t="s">
        <v>43</v>
      </c>
    </row>
    <row r="40" spans="1:1" ht="15" customHeight="1" x14ac:dyDescent="0.3"/>
    <row r="41" spans="1:1" ht="15" customHeight="1" x14ac:dyDescent="0.3">
      <c r="A41" s="28" t="s">
        <v>44</v>
      </c>
    </row>
    <row r="42" spans="1:1" ht="15" customHeight="1" x14ac:dyDescent="0.3">
      <c r="A42" s="29" t="s">
        <v>45</v>
      </c>
    </row>
    <row r="43" spans="1:1" ht="15" customHeight="1" x14ac:dyDescent="0.3">
      <c r="A43" s="30" t="s">
        <v>46</v>
      </c>
    </row>
    <row r="44" spans="1:1" ht="15" customHeight="1" x14ac:dyDescent="0.3">
      <c r="A44" s="30" t="s">
        <v>47</v>
      </c>
    </row>
    <row r="45" spans="1:1" ht="15" customHeight="1" x14ac:dyDescent="0.3">
      <c r="A45" s="30" t="s">
        <v>48</v>
      </c>
    </row>
    <row r="46" spans="1:1" ht="15" customHeight="1" x14ac:dyDescent="0.3">
      <c r="A46" s="30" t="s">
        <v>49</v>
      </c>
    </row>
    <row r="47" spans="1:1" ht="15" customHeight="1" x14ac:dyDescent="0.3">
      <c r="A47" s="30" t="s">
        <v>50</v>
      </c>
    </row>
    <row r="48" spans="1:1" ht="15" customHeight="1" x14ac:dyDescent="0.3">
      <c r="A48" s="30" t="s">
        <v>51</v>
      </c>
    </row>
    <row r="49" spans="1:1" ht="15" customHeight="1" x14ac:dyDescent="0.3">
      <c r="A49" s="31" t="s">
        <v>52</v>
      </c>
    </row>
    <row r="50" spans="1:1" x14ac:dyDescent="0.3">
      <c r="A50" s="31" t="s">
        <v>53</v>
      </c>
    </row>
    <row r="51" spans="1:1" x14ac:dyDescent="0.3">
      <c r="A51" s="66" t="s">
        <v>54</v>
      </c>
    </row>
  </sheetData>
  <mergeCells count="3">
    <mergeCell ref="A18:B18"/>
    <mergeCell ref="A3:B3"/>
    <mergeCell ref="A5:B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4"/>
  <sheetViews>
    <sheetView zoomScaleNormal="100" workbookViewId="0">
      <pane ySplit="3" topLeftCell="A4" activePane="bottomLeft" state="frozen"/>
      <selection pane="bottomLeft" activeCell="E12" sqref="E12"/>
    </sheetView>
  </sheetViews>
  <sheetFormatPr defaultColWidth="8.6640625" defaultRowHeight="15.6" x14ac:dyDescent="0.3"/>
  <cols>
    <col min="1" max="1" width="12" style="1" customWidth="1"/>
    <col min="2" max="2" width="25" style="1" customWidth="1"/>
    <col min="3" max="3" width="14.44140625" style="1" customWidth="1"/>
    <col min="4" max="4" width="17" style="1" customWidth="1"/>
    <col min="5" max="5" width="66.44140625" style="2" customWidth="1"/>
    <col min="6" max="6" width="21.33203125" style="1" customWidth="1"/>
    <col min="7" max="8" width="40.77734375" style="2" customWidth="1"/>
    <col min="9" max="9" width="10.88671875" style="32" customWidth="1"/>
    <col min="10" max="10" width="20.77734375" style="1" customWidth="1"/>
    <col min="11" max="11" width="20.77734375" style="32" customWidth="1"/>
    <col min="12" max="12" width="20.77734375" style="1" customWidth="1"/>
    <col min="13" max="13" width="12.77734375" style="1" customWidth="1"/>
    <col min="14" max="14" width="20.77734375" style="2" customWidth="1"/>
    <col min="15" max="17" width="20.77734375" style="1" customWidth="1"/>
    <col min="18" max="18" width="40.77734375" style="1" customWidth="1"/>
    <col min="19" max="19" width="33.21875" style="1" customWidth="1"/>
    <col min="20" max="20" width="52.77734375" style="2" customWidth="1"/>
    <col min="21" max="23" width="20.77734375" style="1" customWidth="1"/>
    <col min="24" max="24" width="70.77734375" style="2" customWidth="1"/>
    <col min="25" max="25" width="8.6640625" style="1" customWidth="1"/>
    <col min="26" max="16384" width="8.6640625" style="1"/>
  </cols>
  <sheetData>
    <row r="1" spans="1:24" ht="15" customHeight="1" x14ac:dyDescent="0.3">
      <c r="A1" s="76"/>
      <c r="B1" s="77"/>
      <c r="C1" s="77"/>
      <c r="D1" s="77"/>
      <c r="E1" s="77"/>
      <c r="F1" s="77"/>
      <c r="G1" s="77"/>
      <c r="H1" s="77"/>
      <c r="I1" s="77"/>
      <c r="J1" s="77"/>
      <c r="K1" s="77"/>
      <c r="L1" s="78"/>
      <c r="M1" s="33"/>
      <c r="N1" s="34"/>
      <c r="R1" s="35"/>
      <c r="S1" s="36"/>
      <c r="T1" s="35"/>
      <c r="U1" s="36"/>
      <c r="V1" s="36"/>
      <c r="W1" s="36"/>
      <c r="X1" s="35"/>
    </row>
    <row r="2" spans="1:24" s="37" customFormat="1" ht="15" customHeight="1" x14ac:dyDescent="0.3">
      <c r="B2" s="38"/>
      <c r="C2" s="38"/>
      <c r="D2" s="38"/>
      <c r="E2" s="39"/>
      <c r="F2" s="38"/>
      <c r="G2" s="39"/>
      <c r="H2" s="39"/>
      <c r="I2" s="40"/>
      <c r="J2" s="38"/>
      <c r="K2" s="41"/>
      <c r="M2" s="40"/>
      <c r="N2" s="38"/>
      <c r="Q2" s="79"/>
      <c r="R2" s="79"/>
      <c r="S2" s="79"/>
      <c r="T2" s="39"/>
      <c r="U2" s="74" t="s">
        <v>55</v>
      </c>
      <c r="V2" s="75"/>
      <c r="W2" s="68"/>
      <c r="X2" s="39"/>
    </row>
    <row r="3" spans="1:24" ht="30.75" customHeight="1" x14ac:dyDescent="0.3">
      <c r="A3" s="42" t="s">
        <v>56</v>
      </c>
      <c r="B3" s="42" t="s">
        <v>57</v>
      </c>
      <c r="C3" s="42" t="s">
        <v>58</v>
      </c>
      <c r="D3" s="42" t="s">
        <v>5</v>
      </c>
      <c r="E3" s="42" t="s">
        <v>59</v>
      </c>
      <c r="F3" s="42" t="s">
        <v>60</v>
      </c>
      <c r="G3" s="42" t="s">
        <v>61</v>
      </c>
      <c r="H3" s="42" t="s">
        <v>62</v>
      </c>
      <c r="I3" s="42" t="s">
        <v>63</v>
      </c>
      <c r="J3" s="42" t="s">
        <v>64</v>
      </c>
      <c r="K3" s="42" t="s">
        <v>65</v>
      </c>
      <c r="L3" s="42" t="s">
        <v>66</v>
      </c>
      <c r="M3" s="42" t="s">
        <v>67</v>
      </c>
      <c r="N3" s="42" t="s">
        <v>68</v>
      </c>
      <c r="O3" s="42" t="s">
        <v>69</v>
      </c>
      <c r="P3" s="42" t="s">
        <v>70</v>
      </c>
      <c r="Q3" s="42" t="s">
        <v>71</v>
      </c>
      <c r="R3" s="42" t="s">
        <v>72</v>
      </c>
      <c r="S3" s="42" t="s">
        <v>73</v>
      </c>
      <c r="T3" s="42" t="s">
        <v>74</v>
      </c>
      <c r="U3" s="42" t="s">
        <v>75</v>
      </c>
      <c r="V3" s="42" t="s">
        <v>28</v>
      </c>
      <c r="W3" s="42" t="s">
        <v>29</v>
      </c>
      <c r="X3" s="42" t="s">
        <v>15</v>
      </c>
    </row>
    <row r="4" spans="1:24" ht="45" customHeight="1" x14ac:dyDescent="0.3">
      <c r="A4" s="43" t="s">
        <v>76</v>
      </c>
      <c r="B4" s="7" t="s">
        <v>77</v>
      </c>
      <c r="C4" s="7" t="s">
        <v>78</v>
      </c>
      <c r="D4" s="7" t="s">
        <v>16</v>
      </c>
      <c r="E4" s="8" t="s">
        <v>79</v>
      </c>
      <c r="F4" s="7" t="s">
        <v>80</v>
      </c>
      <c r="G4" s="8" t="s">
        <v>81</v>
      </c>
      <c r="H4" s="8" t="s">
        <v>82</v>
      </c>
      <c r="I4" s="43"/>
      <c r="J4" s="7"/>
      <c r="K4" s="44"/>
      <c r="L4" s="11" t="str">
        <f t="shared" ref="L4:L10" si="0">IF(AND(ISNUMBER(J4),ISNUMBER(K4)),J4*K4,"")</f>
        <v/>
      </c>
      <c r="M4" s="43" t="s">
        <v>83</v>
      </c>
      <c r="N4" s="10">
        <v>124000000</v>
      </c>
      <c r="O4" s="7">
        <v>1.02373E-3</v>
      </c>
      <c r="P4" s="11">
        <f t="shared" ref="P4:P10" si="1">IF(AND(ISNUMBER(N4),ISNUMBER(O4)),N4*O4,"")</f>
        <v>126942.52</v>
      </c>
      <c r="Q4" s="11">
        <f t="shared" ref="Q4:Q10" si="2">IF(OR(ISNUMBER(L4),ISNUMBER(P4)),IF(ISNUMBER(P4),P4,0)-IF(ISNUMBER(L4),L4,0),"")</f>
        <v>126942.52</v>
      </c>
      <c r="R4" s="8" t="s">
        <v>84</v>
      </c>
      <c r="S4" s="7" t="s">
        <v>85</v>
      </c>
      <c r="T4" s="8" t="s">
        <v>86</v>
      </c>
      <c r="U4" s="10">
        <f>IF(M4="LCAI",N4,0)</f>
        <v>124000000</v>
      </c>
      <c r="V4" s="10">
        <v>0</v>
      </c>
      <c r="W4" s="11">
        <v>0</v>
      </c>
      <c r="X4" s="8" t="s">
        <v>87</v>
      </c>
    </row>
    <row r="5" spans="1:24" ht="45" customHeight="1" x14ac:dyDescent="0.3">
      <c r="A5" s="43" t="s">
        <v>88</v>
      </c>
      <c r="B5" s="7" t="s">
        <v>89</v>
      </c>
      <c r="C5" s="7" t="s">
        <v>90</v>
      </c>
      <c r="D5" s="7" t="s">
        <v>16</v>
      </c>
      <c r="E5" s="8" t="s">
        <v>91</v>
      </c>
      <c r="F5" s="7" t="s">
        <v>92</v>
      </c>
      <c r="G5" s="8" t="s">
        <v>82</v>
      </c>
      <c r="H5" s="8" t="s">
        <v>93</v>
      </c>
      <c r="I5" s="43" t="s">
        <v>83</v>
      </c>
      <c r="J5" s="10">
        <v>17073196.530000001</v>
      </c>
      <c r="K5" s="44">
        <v>9.7654999999999997E-4</v>
      </c>
      <c r="L5" s="11">
        <f t="shared" si="0"/>
        <v>16672.8300713715</v>
      </c>
      <c r="M5" s="43" t="s">
        <v>83</v>
      </c>
      <c r="N5" s="10">
        <v>17073196.530000001</v>
      </c>
      <c r="O5" s="7">
        <v>9.7654999999999997E-4</v>
      </c>
      <c r="P5" s="11">
        <f t="shared" si="1"/>
        <v>16672.8300713715</v>
      </c>
      <c r="Q5" s="11">
        <f t="shared" si="2"/>
        <v>0</v>
      </c>
      <c r="R5" s="8" t="s">
        <v>94</v>
      </c>
      <c r="S5" s="7" t="s">
        <v>95</v>
      </c>
      <c r="T5" s="8" t="s">
        <v>85</v>
      </c>
      <c r="U5" s="10">
        <f t="shared" ref="U5:U10" si="3">U4-IF(AND(I5="LCAI",ISNUMBER(SEARCH("9200",F5))),J5,0)</f>
        <v>106926803.47</v>
      </c>
      <c r="V5" s="10">
        <f t="shared" ref="V5:V10" si="4">V4+IF(AND(M5="LCAI",ISNUMBER(SEARCH("ETH",F5))),N5,0)-IF(AND(I5="LCAI",F5="Ethereum"),J5,0)</f>
        <v>17073196.530000001</v>
      </c>
      <c r="W5" s="11">
        <f t="shared" ref="W5:W10" si="5">W4+IF(M5="USDC",N5,0)-IF(I5="USDC",J5,0)</f>
        <v>0</v>
      </c>
      <c r="X5" s="8" t="s">
        <v>96</v>
      </c>
    </row>
    <row r="6" spans="1:24" ht="45" customHeight="1" x14ac:dyDescent="0.3">
      <c r="A6" s="43" t="s">
        <v>97</v>
      </c>
      <c r="B6" s="7" t="s">
        <v>98</v>
      </c>
      <c r="C6" s="7" t="s">
        <v>99</v>
      </c>
      <c r="D6" s="7" t="s">
        <v>16</v>
      </c>
      <c r="E6" s="8" t="s">
        <v>100</v>
      </c>
      <c r="F6" s="7" t="s">
        <v>101</v>
      </c>
      <c r="G6" s="8" t="s">
        <v>93</v>
      </c>
      <c r="H6" s="8" t="s">
        <v>102</v>
      </c>
      <c r="I6" s="43" t="s">
        <v>83</v>
      </c>
      <c r="J6" s="10">
        <v>16245312</v>
      </c>
      <c r="K6" s="44">
        <f>N6/J6</f>
        <v>9.3070105092472215E-4</v>
      </c>
      <c r="L6" s="11">
        <f t="shared" si="0"/>
        <v>15119.528951</v>
      </c>
      <c r="M6" s="43" t="s">
        <v>29</v>
      </c>
      <c r="N6" s="10">
        <v>15119.528951</v>
      </c>
      <c r="O6" s="45">
        <v>1</v>
      </c>
      <c r="P6" s="11">
        <f t="shared" si="1"/>
        <v>15119.528951</v>
      </c>
      <c r="Q6" s="11">
        <f t="shared" si="2"/>
        <v>0</v>
      </c>
      <c r="R6" s="8" t="s">
        <v>103</v>
      </c>
      <c r="S6" s="7" t="s">
        <v>104</v>
      </c>
      <c r="T6" s="8" t="s">
        <v>105</v>
      </c>
      <c r="U6" s="10">
        <f t="shared" si="3"/>
        <v>106926803.47</v>
      </c>
      <c r="V6" s="10">
        <f t="shared" si="4"/>
        <v>827884.53000000119</v>
      </c>
      <c r="W6" s="11">
        <f t="shared" si="5"/>
        <v>15119.528951</v>
      </c>
      <c r="X6" s="8" t="s">
        <v>106</v>
      </c>
    </row>
    <row r="7" spans="1:24" ht="45" customHeight="1" x14ac:dyDescent="0.3">
      <c r="A7" s="43" t="s">
        <v>107</v>
      </c>
      <c r="B7" s="7" t="s">
        <v>108</v>
      </c>
      <c r="C7" s="7" t="s">
        <v>109</v>
      </c>
      <c r="D7" s="7" t="s">
        <v>16</v>
      </c>
      <c r="E7" s="8" t="s">
        <v>110</v>
      </c>
      <c r="F7" s="7" t="s">
        <v>101</v>
      </c>
      <c r="G7" s="8" t="s">
        <v>93</v>
      </c>
      <c r="H7" s="8" t="s">
        <v>111</v>
      </c>
      <c r="I7" s="43" t="s">
        <v>29</v>
      </c>
      <c r="J7" s="10">
        <v>14500</v>
      </c>
      <c r="K7" s="44">
        <v>1</v>
      </c>
      <c r="L7" s="11">
        <f t="shared" si="0"/>
        <v>14500</v>
      </c>
      <c r="M7" s="43"/>
      <c r="N7" s="7"/>
      <c r="O7" s="7"/>
      <c r="P7" s="11" t="str">
        <f t="shared" si="1"/>
        <v/>
      </c>
      <c r="Q7" s="11">
        <f t="shared" si="2"/>
        <v>-14500</v>
      </c>
      <c r="R7" s="8" t="s">
        <v>112</v>
      </c>
      <c r="S7" s="7" t="s">
        <v>113</v>
      </c>
      <c r="T7" s="8" t="s">
        <v>104</v>
      </c>
      <c r="U7" s="10">
        <f t="shared" si="3"/>
        <v>106926803.47</v>
      </c>
      <c r="V7" s="10">
        <f t="shared" si="4"/>
        <v>827884.53000000119</v>
      </c>
      <c r="W7" s="11">
        <f t="shared" si="5"/>
        <v>619.52895100000023</v>
      </c>
      <c r="X7" s="8" t="s">
        <v>114</v>
      </c>
    </row>
    <row r="8" spans="1:24" ht="45" customHeight="1" x14ac:dyDescent="0.3">
      <c r="A8" s="43" t="s">
        <v>115</v>
      </c>
      <c r="B8" s="7" t="s">
        <v>116</v>
      </c>
      <c r="C8" s="7" t="s">
        <v>90</v>
      </c>
      <c r="D8" s="7" t="s">
        <v>16</v>
      </c>
      <c r="E8" s="8" t="s">
        <v>117</v>
      </c>
      <c r="F8" s="7" t="s">
        <v>92</v>
      </c>
      <c r="G8" s="8" t="s">
        <v>82</v>
      </c>
      <c r="H8" s="8" t="s">
        <v>93</v>
      </c>
      <c r="I8" s="43" t="s">
        <v>83</v>
      </c>
      <c r="J8" s="10">
        <v>11440379.929953</v>
      </c>
      <c r="K8" s="44"/>
      <c r="L8" s="11" t="str">
        <f t="shared" si="0"/>
        <v/>
      </c>
      <c r="M8" s="43" t="s">
        <v>83</v>
      </c>
      <c r="N8" s="10">
        <v>11440379.929953</v>
      </c>
      <c r="O8" s="7"/>
      <c r="P8" s="11" t="str">
        <f t="shared" si="1"/>
        <v/>
      </c>
      <c r="Q8" s="11" t="str">
        <f t="shared" si="2"/>
        <v/>
      </c>
      <c r="R8" s="8" t="s">
        <v>118</v>
      </c>
      <c r="S8" s="7" t="s">
        <v>95</v>
      </c>
      <c r="T8" s="8" t="s">
        <v>85</v>
      </c>
      <c r="U8" s="10">
        <f t="shared" si="3"/>
        <v>95486423.540047005</v>
      </c>
      <c r="V8" s="10">
        <f t="shared" si="4"/>
        <v>12268264.459953001</v>
      </c>
      <c r="W8" s="11">
        <f t="shared" si="5"/>
        <v>619.52895100000023</v>
      </c>
      <c r="X8" s="8" t="s">
        <v>119</v>
      </c>
    </row>
    <row r="9" spans="1:24" ht="45" customHeight="1" x14ac:dyDescent="0.3">
      <c r="A9" s="43" t="s">
        <v>120</v>
      </c>
      <c r="B9" s="7" t="s">
        <v>121</v>
      </c>
      <c r="C9" s="7" t="s">
        <v>99</v>
      </c>
      <c r="D9" s="7" t="s">
        <v>16</v>
      </c>
      <c r="E9" s="8" t="s">
        <v>100</v>
      </c>
      <c r="F9" s="7" t="s">
        <v>101</v>
      </c>
      <c r="G9" s="8" t="s">
        <v>93</v>
      </c>
      <c r="H9" s="8" t="s">
        <v>102</v>
      </c>
      <c r="I9" s="43" t="s">
        <v>83</v>
      </c>
      <c r="J9" s="10">
        <v>10903444.880816</v>
      </c>
      <c r="K9" s="44">
        <f>N9/J9</f>
        <v>9.3836027410029873E-4</v>
      </c>
      <c r="L9" s="11">
        <f t="shared" si="0"/>
        <v>10231.359527000001</v>
      </c>
      <c r="M9" s="43" t="s">
        <v>29</v>
      </c>
      <c r="N9" s="10">
        <v>10231.359527000001</v>
      </c>
      <c r="O9" s="45">
        <v>1</v>
      </c>
      <c r="P9" s="11">
        <f t="shared" si="1"/>
        <v>10231.359527000001</v>
      </c>
      <c r="Q9" s="11">
        <f t="shared" si="2"/>
        <v>0</v>
      </c>
      <c r="R9" s="8" t="s">
        <v>122</v>
      </c>
      <c r="S9" s="7" t="s">
        <v>104</v>
      </c>
      <c r="T9" s="8" t="s">
        <v>105</v>
      </c>
      <c r="U9" s="10">
        <f t="shared" si="3"/>
        <v>95486423.540047005</v>
      </c>
      <c r="V9" s="10">
        <f t="shared" si="4"/>
        <v>1364819.5791370012</v>
      </c>
      <c r="W9" s="11">
        <f t="shared" si="5"/>
        <v>10850.888478000001</v>
      </c>
      <c r="X9" s="8" t="s">
        <v>123</v>
      </c>
    </row>
    <row r="10" spans="1:24" ht="45" customHeight="1" x14ac:dyDescent="0.3">
      <c r="A10" s="43" t="s">
        <v>124</v>
      </c>
      <c r="B10" s="7" t="s">
        <v>125</v>
      </c>
      <c r="C10" s="7" t="s">
        <v>109</v>
      </c>
      <c r="D10" s="7" t="s">
        <v>16</v>
      </c>
      <c r="E10" s="8" t="s">
        <v>126</v>
      </c>
      <c r="F10" s="7" t="s">
        <v>101</v>
      </c>
      <c r="G10" s="8" t="s">
        <v>93</v>
      </c>
      <c r="H10" s="8" t="s">
        <v>127</v>
      </c>
      <c r="I10" s="43" t="s">
        <v>29</v>
      </c>
      <c r="J10" s="10">
        <v>10000</v>
      </c>
      <c r="K10" s="44">
        <v>1</v>
      </c>
      <c r="L10" s="11">
        <f t="shared" si="0"/>
        <v>10000</v>
      </c>
      <c r="M10" s="43"/>
      <c r="N10" s="7"/>
      <c r="O10" s="7"/>
      <c r="P10" s="11" t="str">
        <f t="shared" si="1"/>
        <v/>
      </c>
      <c r="Q10" s="11">
        <f t="shared" si="2"/>
        <v>-10000</v>
      </c>
      <c r="R10" s="8" t="s">
        <v>128</v>
      </c>
      <c r="S10" s="7" t="s">
        <v>129</v>
      </c>
      <c r="T10" s="8" t="s">
        <v>104</v>
      </c>
      <c r="U10" s="10">
        <f t="shared" si="3"/>
        <v>95486423.540047005</v>
      </c>
      <c r="V10" s="10">
        <f t="shared" si="4"/>
        <v>1364819.5791370012</v>
      </c>
      <c r="W10" s="11">
        <f t="shared" si="5"/>
        <v>850.88847800000076</v>
      </c>
      <c r="X10" s="8" t="s">
        <v>130</v>
      </c>
    </row>
    <row r="11" spans="1:24" ht="45" customHeight="1" x14ac:dyDescent="0.3"/>
    <row r="12" spans="1:24" ht="45" customHeight="1" x14ac:dyDescent="0.3">
      <c r="A12" s="6" t="s">
        <v>131</v>
      </c>
    </row>
    <row r="13" spans="1:24" ht="45" customHeight="1" x14ac:dyDescent="0.3">
      <c r="A13" s="5" t="s">
        <v>132</v>
      </c>
    </row>
    <row r="14" spans="1:24" ht="15" customHeight="1" x14ac:dyDescent="0.3">
      <c r="A14" s="5" t="s">
        <v>133</v>
      </c>
    </row>
    <row r="15" spans="1:24" ht="15" customHeight="1" x14ac:dyDescent="0.3">
      <c r="A15" s="5" t="s">
        <v>134</v>
      </c>
    </row>
    <row r="16" spans="1:24" ht="15" customHeight="1" x14ac:dyDescent="0.3">
      <c r="A16" s="5" t="s">
        <v>135</v>
      </c>
    </row>
    <row r="17" spans="1:1" ht="15" customHeight="1" x14ac:dyDescent="0.3">
      <c r="A17" s="5" t="s">
        <v>136</v>
      </c>
    </row>
    <row r="18" spans="1:1" ht="15" customHeight="1" x14ac:dyDescent="0.3">
      <c r="A18" s="1" t="s">
        <v>137</v>
      </c>
    </row>
    <row r="19" spans="1:1" ht="15" customHeight="1" x14ac:dyDescent="0.3"/>
    <row r="20" spans="1:1" ht="15" customHeight="1" x14ac:dyDescent="0.3">
      <c r="A20" s="28" t="s">
        <v>44</v>
      </c>
    </row>
    <row r="21" spans="1:1" ht="15" customHeight="1" x14ac:dyDescent="0.3">
      <c r="A21" s="29" t="s">
        <v>138</v>
      </c>
    </row>
    <row r="22" spans="1:1" ht="15" customHeight="1" x14ac:dyDescent="0.3">
      <c r="A22" s="29" t="s">
        <v>139</v>
      </c>
    </row>
    <row r="23" spans="1:1" ht="15" customHeight="1" x14ac:dyDescent="0.3">
      <c r="A23" s="29" t="s">
        <v>140</v>
      </c>
    </row>
    <row r="24" spans="1:1" ht="15" customHeight="1" x14ac:dyDescent="0.3">
      <c r="A24" s="29" t="s">
        <v>141</v>
      </c>
    </row>
    <row r="25" spans="1:1" ht="15" customHeight="1" x14ac:dyDescent="0.3">
      <c r="A25" s="29" t="s">
        <v>142</v>
      </c>
    </row>
    <row r="26" spans="1:1" ht="15" customHeight="1" x14ac:dyDescent="0.3">
      <c r="A26" s="29" t="s">
        <v>143</v>
      </c>
    </row>
    <row r="27" spans="1:1" ht="15" customHeight="1" x14ac:dyDescent="0.3">
      <c r="A27" s="29" t="s">
        <v>47</v>
      </c>
    </row>
    <row r="28" spans="1:1" ht="15" customHeight="1" x14ac:dyDescent="0.3">
      <c r="A28" s="29" t="s">
        <v>48</v>
      </c>
    </row>
    <row r="29" spans="1:1" ht="15" customHeight="1" x14ac:dyDescent="0.3">
      <c r="A29" s="29" t="s">
        <v>144</v>
      </c>
    </row>
    <row r="30" spans="1:1" ht="15" customHeight="1" x14ac:dyDescent="0.3">
      <c r="A30" s="29" t="s">
        <v>49</v>
      </c>
    </row>
    <row r="31" spans="1:1" ht="15" customHeight="1" x14ac:dyDescent="0.3">
      <c r="A31" s="29" t="s">
        <v>51</v>
      </c>
    </row>
    <row r="32" spans="1:1" ht="15" customHeight="1" x14ac:dyDescent="0.3">
      <c r="A32" s="31" t="s">
        <v>52</v>
      </c>
    </row>
    <row r="33" spans="1:1" ht="15" customHeight="1" x14ac:dyDescent="0.3">
      <c r="A33" s="31" t="s">
        <v>53</v>
      </c>
    </row>
    <row r="34" spans="1:1" ht="15" customHeight="1" x14ac:dyDescent="0.3">
      <c r="A34" s="31" t="s">
        <v>145</v>
      </c>
    </row>
  </sheetData>
  <autoFilter ref="A3:O10" xr:uid="{00000000-0009-0000-0000-000001000000}"/>
  <mergeCells count="3">
    <mergeCell ref="U2:W2"/>
    <mergeCell ref="A1:L1"/>
    <mergeCell ref="Q2:S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
  <sheetViews>
    <sheetView zoomScale="130" zoomScaleNormal="130" workbookViewId="0">
      <selection activeCell="E14" sqref="E14"/>
    </sheetView>
  </sheetViews>
  <sheetFormatPr defaultColWidth="8.6640625" defaultRowHeight="15.6" x14ac:dyDescent="0.3"/>
  <cols>
    <col min="1" max="1" width="28" style="46" customWidth="1"/>
    <col min="2" max="2" width="24.44140625" style="46" customWidth="1"/>
    <col min="3" max="3" width="18.21875" style="46" customWidth="1"/>
    <col min="4" max="4" width="11" style="46" customWidth="1"/>
    <col min="5" max="5" width="16" style="46" customWidth="1"/>
    <col min="6" max="6" width="24" style="46" customWidth="1"/>
    <col min="7" max="7" width="14" style="46" customWidth="1"/>
    <col min="8" max="8" width="8.6640625" style="46" customWidth="1"/>
    <col min="9" max="16384" width="8.6640625" style="46"/>
  </cols>
  <sheetData>
    <row r="1" spans="1:7" ht="15" customHeight="1" x14ac:dyDescent="0.3">
      <c r="A1" s="47" t="s">
        <v>146</v>
      </c>
      <c r="B1" s="48"/>
      <c r="C1" s="48"/>
      <c r="D1" s="48"/>
      <c r="E1" s="48"/>
      <c r="F1" s="48"/>
      <c r="G1" s="48"/>
    </row>
    <row r="2" spans="1:7" ht="15" customHeight="1" x14ac:dyDescent="0.3">
      <c r="A2" s="48"/>
      <c r="B2" s="48"/>
      <c r="C2" s="48"/>
      <c r="D2" s="48"/>
      <c r="E2" s="48"/>
      <c r="F2" s="48"/>
      <c r="G2" s="48"/>
    </row>
    <row r="3" spans="1:7" ht="15" customHeight="1" x14ac:dyDescent="0.3">
      <c r="A3" s="47" t="s">
        <v>147</v>
      </c>
      <c r="B3" s="48"/>
      <c r="C3" s="48"/>
      <c r="D3" s="48"/>
      <c r="E3" s="48"/>
      <c r="F3" s="48"/>
      <c r="G3" s="48"/>
    </row>
    <row r="4" spans="1:7" ht="15" customHeight="1" x14ac:dyDescent="0.3">
      <c r="A4" s="9" t="s">
        <v>58</v>
      </c>
      <c r="B4" s="9" t="s">
        <v>148</v>
      </c>
      <c r="C4" s="9" t="s">
        <v>149</v>
      </c>
      <c r="D4" s="9" t="s">
        <v>150</v>
      </c>
      <c r="E4" s="9" t="s">
        <v>151</v>
      </c>
      <c r="F4" s="9" t="s">
        <v>152</v>
      </c>
      <c r="G4" s="9" t="s">
        <v>56</v>
      </c>
    </row>
    <row r="5" spans="1:7" ht="15" customHeight="1" x14ac:dyDescent="0.3">
      <c r="A5" s="49" t="s">
        <v>153</v>
      </c>
      <c r="B5" s="49" t="s">
        <v>154</v>
      </c>
      <c r="C5" s="50">
        <v>1.5999999999999999E-5</v>
      </c>
      <c r="D5" s="49" t="s">
        <v>31</v>
      </c>
      <c r="E5" s="51">
        <v>0.04</v>
      </c>
      <c r="F5" s="49" t="s">
        <v>155</v>
      </c>
      <c r="G5" s="49" t="s">
        <v>156</v>
      </c>
    </row>
    <row r="6" spans="1:7" ht="15" customHeight="1" x14ac:dyDescent="0.3">
      <c r="A6" s="49" t="s">
        <v>157</v>
      </c>
      <c r="B6" s="49" t="s">
        <v>158</v>
      </c>
      <c r="C6" s="50">
        <v>109.7</v>
      </c>
      <c r="D6" s="49" t="s">
        <v>29</v>
      </c>
      <c r="E6" s="51">
        <v>109.7</v>
      </c>
      <c r="F6" s="49" t="s">
        <v>159</v>
      </c>
      <c r="G6" s="49" t="s">
        <v>97</v>
      </c>
    </row>
    <row r="7" spans="1:7" ht="15" customHeight="1" x14ac:dyDescent="0.3">
      <c r="A7" s="49" t="s">
        <v>160</v>
      </c>
      <c r="B7" s="49" t="s">
        <v>154</v>
      </c>
      <c r="C7" s="50">
        <v>6.0000000000000002E-6</v>
      </c>
      <c r="D7" s="49" t="s">
        <v>31</v>
      </c>
      <c r="E7" s="51">
        <v>0.02</v>
      </c>
      <c r="F7" s="49" t="s">
        <v>161</v>
      </c>
      <c r="G7" s="49" t="s">
        <v>107</v>
      </c>
    </row>
    <row r="8" spans="1:7" ht="15" customHeight="1" x14ac:dyDescent="0.3">
      <c r="A8" s="49" t="s">
        <v>153</v>
      </c>
      <c r="B8" s="49" t="s">
        <v>154</v>
      </c>
      <c r="C8" s="50">
        <v>6.9999999999999999E-6</v>
      </c>
      <c r="D8" s="49" t="s">
        <v>31</v>
      </c>
      <c r="E8" s="51">
        <v>0.02</v>
      </c>
      <c r="F8" s="49" t="s">
        <v>161</v>
      </c>
      <c r="G8" s="49" t="s">
        <v>156</v>
      </c>
    </row>
    <row r="9" spans="1:7" ht="15" customHeight="1" x14ac:dyDescent="0.3">
      <c r="A9" s="49" t="s">
        <v>157</v>
      </c>
      <c r="B9" s="49" t="s">
        <v>158</v>
      </c>
      <c r="C9" s="50">
        <v>75.069999999999993</v>
      </c>
      <c r="D9" s="49" t="s">
        <v>29</v>
      </c>
      <c r="E9" s="51">
        <v>75.069999999999993</v>
      </c>
      <c r="F9" s="49" t="s">
        <v>159</v>
      </c>
      <c r="G9" s="49" t="s">
        <v>120</v>
      </c>
    </row>
    <row r="10" spans="1:7" ht="15" customHeight="1" x14ac:dyDescent="0.3">
      <c r="A10" s="49" t="s">
        <v>160</v>
      </c>
      <c r="B10" s="49" t="s">
        <v>154</v>
      </c>
      <c r="C10" s="50">
        <v>6.0000000000000002E-6</v>
      </c>
      <c r="D10" s="49" t="s">
        <v>31</v>
      </c>
      <c r="E10" s="51">
        <v>0.01</v>
      </c>
      <c r="F10" s="49" t="s">
        <v>161</v>
      </c>
      <c r="G10" s="49" t="s">
        <v>124</v>
      </c>
    </row>
    <row r="11" spans="1:7" ht="15" customHeight="1" x14ac:dyDescent="0.3">
      <c r="A11" s="52" t="s">
        <v>24</v>
      </c>
      <c r="B11" s="48"/>
      <c r="C11" s="53"/>
      <c r="D11" s="48"/>
      <c r="E11" s="54">
        <f>SUM(E5:E10)</f>
        <v>184.85999999999999</v>
      </c>
      <c r="F11" s="48"/>
      <c r="G11" s="48"/>
    </row>
    <row r="12" spans="1:7" ht="15" customHeight="1" x14ac:dyDescent="0.3">
      <c r="A12" s="48"/>
      <c r="B12" s="48"/>
      <c r="C12" s="48"/>
      <c r="D12" s="48"/>
      <c r="E12" s="48"/>
      <c r="F12" s="48"/>
      <c r="G12" s="48"/>
    </row>
    <row r="15" spans="1:7" ht="15" customHeight="1" x14ac:dyDescent="0.3">
      <c r="A15" s="55" t="s">
        <v>162</v>
      </c>
    </row>
    <row r="16" spans="1:7" ht="15" customHeight="1" x14ac:dyDescent="0.3">
      <c r="A16" s="56" t="s">
        <v>163</v>
      </c>
    </row>
    <row r="17" spans="1:1" ht="15" customHeight="1" x14ac:dyDescent="0.3">
      <c r="A17" s="56" t="s">
        <v>164</v>
      </c>
    </row>
    <row r="18" spans="1:1" ht="15" customHeight="1" x14ac:dyDescent="0.3">
      <c r="A18" s="56" t="s">
        <v>165</v>
      </c>
    </row>
    <row r="19" spans="1:1" ht="15" customHeight="1" x14ac:dyDescent="0.3">
      <c r="A19" s="46" t="s">
        <v>166</v>
      </c>
    </row>
    <row r="20" spans="1:1" ht="15" customHeight="1" x14ac:dyDescent="0.3">
      <c r="A20" s="57" t="s">
        <v>44</v>
      </c>
    </row>
    <row r="21" spans="1:1" ht="15" customHeight="1" x14ac:dyDescent="0.3">
      <c r="A21" s="58" t="s">
        <v>167</v>
      </c>
    </row>
    <row r="22" spans="1:1" ht="15" customHeight="1" x14ac:dyDescent="0.3">
      <c r="A22" s="58" t="s">
        <v>168</v>
      </c>
    </row>
    <row r="23" spans="1:1" ht="15" customHeight="1" x14ac:dyDescent="0.3">
      <c r="A23" s="46" t="s">
        <v>169</v>
      </c>
    </row>
    <row r="24" spans="1:1" ht="15" customHeight="1" x14ac:dyDescent="0.3">
      <c r="A24" s="31" t="s">
        <v>170</v>
      </c>
    </row>
    <row r="25" spans="1:1" ht="15" customHeight="1" x14ac:dyDescent="0.3">
      <c r="A25" s="31" t="s">
        <v>47</v>
      </c>
    </row>
    <row r="26" spans="1:1" ht="15" customHeight="1" x14ac:dyDescent="0.3">
      <c r="A26" s="31" t="s">
        <v>48</v>
      </c>
    </row>
    <row r="27" spans="1:1" ht="15" customHeight="1" x14ac:dyDescent="0.3">
      <c r="A27" s="31" t="s">
        <v>49</v>
      </c>
    </row>
    <row r="28" spans="1:1" ht="15" customHeight="1" x14ac:dyDescent="0.3">
      <c r="A28" s="31" t="s">
        <v>51</v>
      </c>
    </row>
    <row r="29" spans="1:1" ht="15" customHeight="1" x14ac:dyDescent="0.3">
      <c r="A29" s="31" t="s">
        <v>52</v>
      </c>
    </row>
    <row r="30" spans="1:1" ht="15" customHeight="1" x14ac:dyDescent="0.3">
      <c r="A30" s="31" t="s">
        <v>53</v>
      </c>
    </row>
    <row r="31" spans="1:1" ht="15" customHeight="1" x14ac:dyDescent="0.3">
      <c r="A31" s="31" t="s">
        <v>145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2"/>
  <sheetViews>
    <sheetView zoomScale="130" zoomScaleNormal="130" workbookViewId="0">
      <selection activeCell="H10" sqref="H10"/>
    </sheetView>
  </sheetViews>
  <sheetFormatPr defaultColWidth="8.6640625" defaultRowHeight="14.4" x14ac:dyDescent="0.3"/>
  <cols>
    <col min="1" max="1" width="44.5546875" customWidth="1"/>
    <col min="2" max="2" width="46.77734375" customWidth="1"/>
    <col min="3" max="3" width="10.21875" customWidth="1"/>
    <col min="4" max="4" width="74.77734375" customWidth="1"/>
    <col min="5" max="5" width="9" customWidth="1"/>
    <col min="6" max="6" width="13.33203125" customWidth="1"/>
    <col min="7" max="7" width="16.6640625" customWidth="1"/>
    <col min="8" max="8" width="13.6640625" customWidth="1"/>
    <col min="9" max="9" width="32.33203125" style="59" customWidth="1"/>
    <col min="10" max="10" width="23.44140625" style="60" customWidth="1"/>
  </cols>
  <sheetData>
    <row r="1" spans="1:9" ht="18" customHeight="1" x14ac:dyDescent="0.35">
      <c r="A1" s="61" t="s">
        <v>171</v>
      </c>
    </row>
    <row r="2" spans="1:9" ht="15" customHeight="1" x14ac:dyDescent="0.3">
      <c r="A2" s="55" t="s">
        <v>3</v>
      </c>
    </row>
    <row r="3" spans="1:9" ht="14.25" customHeight="1" x14ac:dyDescent="0.3">
      <c r="A3" s="80" t="s">
        <v>172</v>
      </c>
      <c r="B3" s="81"/>
      <c r="C3" s="81"/>
      <c r="D3" s="81"/>
    </row>
    <row r="5" spans="1:9" ht="42.75" customHeight="1" x14ac:dyDescent="0.3">
      <c r="A5" s="62" t="s">
        <v>57</v>
      </c>
      <c r="B5" s="62" t="s">
        <v>161</v>
      </c>
      <c r="C5" s="62" t="s">
        <v>58</v>
      </c>
      <c r="D5" s="62" t="s">
        <v>173</v>
      </c>
      <c r="E5" s="62" t="s">
        <v>174</v>
      </c>
      <c r="F5" s="62" t="s">
        <v>151</v>
      </c>
      <c r="G5" s="62" t="s">
        <v>175</v>
      </c>
      <c r="H5" s="62" t="s">
        <v>176</v>
      </c>
      <c r="I5" s="62" t="s">
        <v>15</v>
      </c>
    </row>
    <row r="6" spans="1:9" ht="14.25" customHeight="1" x14ac:dyDescent="0.3">
      <c r="A6" t="s">
        <v>177</v>
      </c>
      <c r="B6" t="s">
        <v>178</v>
      </c>
      <c r="C6" t="s">
        <v>179</v>
      </c>
      <c r="D6" t="s">
        <v>180</v>
      </c>
      <c r="E6">
        <v>1.5999999999999999E-5</v>
      </c>
      <c r="F6">
        <v>0.04</v>
      </c>
      <c r="G6">
        <f>E6</f>
        <v>1.5999999999999999E-5</v>
      </c>
      <c r="H6">
        <f>F6</f>
        <v>0.04</v>
      </c>
      <c r="I6" s="59" t="s">
        <v>181</v>
      </c>
    </row>
    <row r="7" spans="1:9" ht="14.25" customHeight="1" x14ac:dyDescent="0.3">
      <c r="A7" t="s">
        <v>182</v>
      </c>
      <c r="B7" t="s">
        <v>183</v>
      </c>
      <c r="C7" t="s">
        <v>179</v>
      </c>
      <c r="D7" t="s">
        <v>184</v>
      </c>
      <c r="E7">
        <v>6.9999999999999999E-6</v>
      </c>
      <c r="F7">
        <v>0.02</v>
      </c>
      <c r="G7">
        <f>G6+E7</f>
        <v>2.3E-5</v>
      </c>
      <c r="H7">
        <f>H6+F7</f>
        <v>0.06</v>
      </c>
      <c r="I7" s="59" t="s">
        <v>185</v>
      </c>
    </row>
    <row r="10" spans="1:9" ht="15" customHeight="1" x14ac:dyDescent="0.3">
      <c r="A10" s="55" t="s">
        <v>186</v>
      </c>
    </row>
    <row r="11" spans="1:9" ht="14.25" customHeight="1" x14ac:dyDescent="0.3">
      <c r="A11" s="63" t="s">
        <v>161</v>
      </c>
      <c r="B11" s="63" t="s">
        <v>187</v>
      </c>
      <c r="C11" s="63" t="s">
        <v>188</v>
      </c>
      <c r="D11" s="63" t="s">
        <v>15</v>
      </c>
    </row>
    <row r="12" spans="1:9" ht="14.25" customHeight="1" x14ac:dyDescent="0.3">
      <c r="A12" t="s">
        <v>178</v>
      </c>
      <c r="B12">
        <f>SUMIF(B6:B9,A12,F6:F9)</f>
        <v>0.04</v>
      </c>
      <c r="C12">
        <f>SUMIF(B6:B9,A12,G6:G9)</f>
        <v>1.5999999999999999E-5</v>
      </c>
    </row>
    <row r="13" spans="1:9" ht="14.25" customHeight="1" x14ac:dyDescent="0.3">
      <c r="A13" t="s">
        <v>183</v>
      </c>
      <c r="B13">
        <f>SUMIF(B6:B9,A13,F6:F9)</f>
        <v>0.02</v>
      </c>
      <c r="C13">
        <f>SUMIF(B6:B9,A13,G6:G9)</f>
        <v>2.3E-5</v>
      </c>
    </row>
    <row r="16" spans="1:9" ht="15" customHeight="1" x14ac:dyDescent="0.3">
      <c r="A16" s="55" t="s">
        <v>189</v>
      </c>
    </row>
    <row r="17" spans="1:1" ht="14.25" customHeight="1" x14ac:dyDescent="0.3">
      <c r="A17" t="s">
        <v>190</v>
      </c>
    </row>
    <row r="18" spans="1:1" ht="14.25" customHeight="1" x14ac:dyDescent="0.3">
      <c r="A18" t="s">
        <v>191</v>
      </c>
    </row>
    <row r="19" spans="1:1" ht="14.25" customHeight="1" x14ac:dyDescent="0.3">
      <c r="A19" t="s">
        <v>192</v>
      </c>
    </row>
    <row r="20" spans="1:1" ht="14.25" customHeight="1" x14ac:dyDescent="0.3">
      <c r="A20" t="s">
        <v>193</v>
      </c>
    </row>
    <row r="22" spans="1:1" ht="14.25" customHeight="1" x14ac:dyDescent="0.3">
      <c r="A22" s="64" t="s">
        <v>44</v>
      </c>
    </row>
    <row r="23" spans="1:1" ht="14.25" customHeight="1" x14ac:dyDescent="0.3">
      <c r="A23" t="s">
        <v>194</v>
      </c>
    </row>
    <row r="24" spans="1:1" ht="14.25" customHeight="1" x14ac:dyDescent="0.3">
      <c r="A24" s="31" t="s">
        <v>142</v>
      </c>
    </row>
    <row r="25" spans="1:1" ht="14.25" customHeight="1" x14ac:dyDescent="0.3">
      <c r="A25" s="31" t="s">
        <v>143</v>
      </c>
    </row>
    <row r="26" spans="1:1" ht="14.25" customHeight="1" x14ac:dyDescent="0.3">
      <c r="A26" s="31" t="s">
        <v>47</v>
      </c>
    </row>
    <row r="27" spans="1:1" ht="14.25" customHeight="1" x14ac:dyDescent="0.3">
      <c r="A27" s="31" t="s">
        <v>48</v>
      </c>
    </row>
    <row r="28" spans="1:1" ht="14.25" customHeight="1" x14ac:dyDescent="0.3">
      <c r="A28" s="31" t="s">
        <v>49</v>
      </c>
    </row>
    <row r="29" spans="1:1" ht="14.25" customHeight="1" x14ac:dyDescent="0.3">
      <c r="A29" s="31" t="s">
        <v>51</v>
      </c>
    </row>
    <row r="30" spans="1:1" ht="14.25" customHeight="1" x14ac:dyDescent="0.3">
      <c r="A30" s="31" t="s">
        <v>52</v>
      </c>
    </row>
    <row r="31" spans="1:1" ht="14.25" customHeight="1" x14ac:dyDescent="0.3">
      <c r="A31" s="31" t="s">
        <v>53</v>
      </c>
    </row>
    <row r="32" spans="1:1" ht="14.25" customHeight="1" x14ac:dyDescent="0.3">
      <c r="A32" s="31" t="s">
        <v>145</v>
      </c>
    </row>
  </sheetData>
  <mergeCells count="1">
    <mergeCell ref="A3:D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3"/>
  <sheetViews>
    <sheetView zoomScaleNormal="100" workbookViewId="0">
      <selection activeCell="D7" sqref="D7"/>
    </sheetView>
  </sheetViews>
  <sheetFormatPr defaultColWidth="8.6640625" defaultRowHeight="15.6" x14ac:dyDescent="0.3"/>
  <cols>
    <col min="1" max="1" width="12" style="46" customWidth="1"/>
    <col min="2" max="2" width="50.77734375" style="65" customWidth="1"/>
    <col min="3" max="3" width="120.77734375" style="65" customWidth="1"/>
    <col min="4" max="4" width="8.6640625" style="46" customWidth="1"/>
    <col min="5" max="16384" width="8.6640625" style="46"/>
  </cols>
  <sheetData>
    <row r="1" spans="1:3" ht="15" customHeight="1" x14ac:dyDescent="0.3">
      <c r="A1" s="9" t="s">
        <v>56</v>
      </c>
      <c r="B1" s="9" t="s">
        <v>59</v>
      </c>
      <c r="C1" s="9" t="s">
        <v>195</v>
      </c>
    </row>
    <row r="2" spans="1:3" ht="31.5" customHeight="1" x14ac:dyDescent="0.3">
      <c r="A2" s="48" t="s">
        <v>76</v>
      </c>
      <c r="B2" s="8" t="s">
        <v>196</v>
      </c>
      <c r="C2" s="8" t="s">
        <v>197</v>
      </c>
    </row>
    <row r="3" spans="1:3" ht="31.5" customHeight="1" x14ac:dyDescent="0.3">
      <c r="A3" s="48" t="s">
        <v>88</v>
      </c>
      <c r="B3" s="20" t="s">
        <v>198</v>
      </c>
      <c r="C3" s="8" t="s">
        <v>199</v>
      </c>
    </row>
    <row r="4" spans="1:3" ht="31.5" customHeight="1" x14ac:dyDescent="0.3">
      <c r="A4" s="48"/>
      <c r="B4" s="20" t="s">
        <v>200</v>
      </c>
      <c r="C4" s="8" t="s">
        <v>201</v>
      </c>
    </row>
    <row r="5" spans="1:3" ht="31.5" customHeight="1" x14ac:dyDescent="0.3">
      <c r="A5" s="48" t="s">
        <v>97</v>
      </c>
      <c r="B5" s="20" t="s">
        <v>202</v>
      </c>
      <c r="C5" s="8" t="s">
        <v>203</v>
      </c>
    </row>
    <row r="6" spans="1:3" ht="31.5" customHeight="1" x14ac:dyDescent="0.3">
      <c r="A6" s="48" t="s">
        <v>107</v>
      </c>
      <c r="B6" s="20" t="s">
        <v>204</v>
      </c>
      <c r="C6" s="8" t="s">
        <v>205</v>
      </c>
    </row>
    <row r="7" spans="1:3" ht="31.5" customHeight="1" x14ac:dyDescent="0.3">
      <c r="A7" s="48" t="s">
        <v>115</v>
      </c>
      <c r="B7" s="20" t="s">
        <v>206</v>
      </c>
      <c r="C7" s="8" t="s">
        <v>207</v>
      </c>
    </row>
    <row r="8" spans="1:3" ht="31.5" customHeight="1" x14ac:dyDescent="0.3">
      <c r="A8" s="48" t="s">
        <v>115</v>
      </c>
      <c r="B8" s="20" t="s">
        <v>208</v>
      </c>
      <c r="C8" s="8" t="s">
        <v>209</v>
      </c>
    </row>
    <row r="9" spans="1:3" ht="31.5" customHeight="1" x14ac:dyDescent="0.3">
      <c r="A9" s="48"/>
      <c r="B9" s="20" t="s">
        <v>210</v>
      </c>
      <c r="C9" s="8" t="s">
        <v>211</v>
      </c>
    </row>
    <row r="10" spans="1:3" ht="31.5" customHeight="1" x14ac:dyDescent="0.3">
      <c r="A10" s="48" t="s">
        <v>120</v>
      </c>
      <c r="B10" s="20" t="s">
        <v>212</v>
      </c>
      <c r="C10" s="8" t="s">
        <v>213</v>
      </c>
    </row>
    <row r="11" spans="1:3" ht="31.5" customHeight="1" x14ac:dyDescent="0.3">
      <c r="A11" s="48" t="s">
        <v>124</v>
      </c>
      <c r="B11" s="20" t="s">
        <v>214</v>
      </c>
      <c r="C11" s="8" t="s">
        <v>215</v>
      </c>
    </row>
    <row r="12" spans="1:3" ht="31.5" customHeight="1" x14ac:dyDescent="0.3">
      <c r="A12" s="48"/>
      <c r="B12" s="20" t="s">
        <v>216</v>
      </c>
      <c r="C12" s="8" t="s">
        <v>217</v>
      </c>
    </row>
    <row r="13" spans="1:3" ht="31.5" customHeight="1" x14ac:dyDescent="0.3">
      <c r="A13" s="48"/>
      <c r="B13" s="20" t="s">
        <v>218</v>
      </c>
      <c r="C13" s="8" t="s">
        <v>219</v>
      </c>
    </row>
    <row r="14" spans="1:3" ht="31.5" customHeight="1" x14ac:dyDescent="0.3">
      <c r="A14" s="7"/>
      <c r="B14" s="20" t="s">
        <v>220</v>
      </c>
      <c r="C14" s="8" t="s">
        <v>17</v>
      </c>
    </row>
    <row r="15" spans="1:3" ht="31.5" customHeight="1" x14ac:dyDescent="0.3">
      <c r="A15" s="48"/>
      <c r="B15" s="20" t="s">
        <v>221</v>
      </c>
      <c r="C15" s="8" t="s">
        <v>222</v>
      </c>
    </row>
    <row r="18" spans="1:1" ht="15" customHeight="1" x14ac:dyDescent="0.3">
      <c r="A18" s="55" t="s">
        <v>223</v>
      </c>
    </row>
    <row r="19" spans="1:1" ht="15" customHeight="1" x14ac:dyDescent="0.3">
      <c r="A19" s="56" t="s">
        <v>224</v>
      </c>
    </row>
    <row r="20" spans="1:1" ht="15" customHeight="1" x14ac:dyDescent="0.3">
      <c r="A20" s="56" t="s">
        <v>225</v>
      </c>
    </row>
    <row r="21" spans="1:1" ht="15" customHeight="1" x14ac:dyDescent="0.3">
      <c r="A21" s="56" t="s">
        <v>226</v>
      </c>
    </row>
    <row r="23" spans="1:1" ht="15" customHeight="1" x14ac:dyDescent="0.3">
      <c r="A23" s="57" t="s">
        <v>44</v>
      </c>
    </row>
    <row r="24" spans="1:1" ht="15" customHeight="1" x14ac:dyDescent="0.3">
      <c r="A24" s="58" t="s">
        <v>227</v>
      </c>
    </row>
    <row r="25" spans="1:1" ht="15" customHeight="1" x14ac:dyDescent="0.3">
      <c r="A25" s="58" t="s">
        <v>45</v>
      </c>
    </row>
    <row r="26" spans="1:1" ht="15" customHeight="1" x14ac:dyDescent="0.3">
      <c r="A26" s="31" t="s">
        <v>228</v>
      </c>
    </row>
    <row r="27" spans="1:1" ht="15" customHeight="1" x14ac:dyDescent="0.3">
      <c r="A27" s="31" t="s">
        <v>47</v>
      </c>
    </row>
    <row r="28" spans="1:1" ht="15" customHeight="1" x14ac:dyDescent="0.3">
      <c r="A28" s="31" t="s">
        <v>48</v>
      </c>
    </row>
    <row r="29" spans="1:1" ht="15" customHeight="1" x14ac:dyDescent="0.3">
      <c r="A29" s="31" t="s">
        <v>49</v>
      </c>
    </row>
    <row r="30" spans="1:1" ht="15" customHeight="1" x14ac:dyDescent="0.3">
      <c r="A30" s="31" t="s">
        <v>51</v>
      </c>
    </row>
    <row r="31" spans="1:1" ht="15" customHeight="1" x14ac:dyDescent="0.3">
      <c r="A31" s="31" t="s">
        <v>52</v>
      </c>
    </row>
    <row r="32" spans="1:1" ht="15" customHeight="1" x14ac:dyDescent="0.3">
      <c r="A32" s="31" t="s">
        <v>53</v>
      </c>
    </row>
    <row r="33" spans="1:1" ht="15" customHeight="1" x14ac:dyDescent="0.3">
      <c r="A33" s="31" t="s">
        <v>145</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70"/>
  <sheetViews>
    <sheetView zoomScaleNormal="100" workbookViewId="0">
      <selection activeCell="G10" sqref="G10"/>
    </sheetView>
  </sheetViews>
  <sheetFormatPr defaultColWidth="8.6640625" defaultRowHeight="15.6" x14ac:dyDescent="0.3"/>
  <cols>
    <col min="1" max="1" width="42" style="1" customWidth="1"/>
    <col min="2" max="2" width="70" style="1" customWidth="1"/>
    <col min="3" max="3" width="50" style="1" customWidth="1"/>
    <col min="4" max="4" width="8.6640625" style="1" customWidth="1"/>
    <col min="5" max="16384" width="8.6640625" style="1"/>
  </cols>
  <sheetData>
    <row r="1" spans="1:3" ht="15" customHeight="1" x14ac:dyDescent="0.3">
      <c r="A1" s="6" t="s">
        <v>229</v>
      </c>
    </row>
    <row r="3" spans="1:3" ht="15" customHeight="1" x14ac:dyDescent="0.3">
      <c r="A3" s="6" t="s">
        <v>230</v>
      </c>
    </row>
    <row r="4" spans="1:3" ht="15" customHeight="1" x14ac:dyDescent="0.3">
      <c r="A4" s="9" t="s">
        <v>231</v>
      </c>
      <c r="B4" s="9" t="s">
        <v>232</v>
      </c>
      <c r="C4" s="9" t="s">
        <v>233</v>
      </c>
    </row>
    <row r="5" spans="1:3" ht="31.5" customHeight="1" x14ac:dyDescent="0.3">
      <c r="A5" s="8" t="s">
        <v>56</v>
      </c>
      <c r="B5" s="8" t="s">
        <v>234</v>
      </c>
      <c r="C5" s="8" t="s">
        <v>235</v>
      </c>
    </row>
    <row r="6" spans="1:3" ht="31.5" customHeight="1" x14ac:dyDescent="0.3">
      <c r="A6" s="8" t="s">
        <v>57</v>
      </c>
      <c r="B6" s="8" t="s">
        <v>236</v>
      </c>
      <c r="C6" s="8" t="s">
        <v>237</v>
      </c>
    </row>
    <row r="7" spans="1:3" ht="31.5" customHeight="1" x14ac:dyDescent="0.3">
      <c r="A7" s="8" t="s">
        <v>58</v>
      </c>
      <c r="B7" s="8" t="s">
        <v>238</v>
      </c>
      <c r="C7" s="8" t="s">
        <v>239</v>
      </c>
    </row>
    <row r="8" spans="1:3" ht="31.5" customHeight="1" x14ac:dyDescent="0.3">
      <c r="A8" s="8" t="s">
        <v>5</v>
      </c>
      <c r="B8" s="8" t="s">
        <v>240</v>
      </c>
      <c r="C8" s="8" t="s">
        <v>241</v>
      </c>
    </row>
    <row r="9" spans="1:3" ht="31.5" customHeight="1" x14ac:dyDescent="0.3">
      <c r="A9" s="8" t="s">
        <v>59</v>
      </c>
      <c r="B9" s="8" t="s">
        <v>242</v>
      </c>
      <c r="C9" s="8" t="s">
        <v>243</v>
      </c>
    </row>
    <row r="10" spans="1:3" ht="31.5" customHeight="1" x14ac:dyDescent="0.3">
      <c r="A10" s="8" t="s">
        <v>60</v>
      </c>
      <c r="B10" s="8" t="s">
        <v>244</v>
      </c>
      <c r="C10" s="8" t="s">
        <v>245</v>
      </c>
    </row>
    <row r="11" spans="1:3" ht="31.5" customHeight="1" x14ac:dyDescent="0.3">
      <c r="A11" s="8" t="s">
        <v>61</v>
      </c>
      <c r="B11" s="8" t="s">
        <v>246</v>
      </c>
      <c r="C11" s="8" t="s">
        <v>247</v>
      </c>
    </row>
    <row r="12" spans="1:3" ht="31.5" customHeight="1" x14ac:dyDescent="0.3">
      <c r="A12" s="8" t="s">
        <v>62</v>
      </c>
      <c r="B12" s="8" t="s">
        <v>248</v>
      </c>
      <c r="C12" s="8" t="s">
        <v>247</v>
      </c>
    </row>
    <row r="13" spans="1:3" ht="31.5" customHeight="1" x14ac:dyDescent="0.3">
      <c r="A13" s="8" t="s">
        <v>63</v>
      </c>
      <c r="B13" s="8" t="s">
        <v>249</v>
      </c>
      <c r="C13" s="8" t="s">
        <v>250</v>
      </c>
    </row>
    <row r="14" spans="1:3" ht="31.5" customHeight="1" x14ac:dyDescent="0.3">
      <c r="A14" s="8" t="s">
        <v>64</v>
      </c>
      <c r="B14" s="8" t="s">
        <v>251</v>
      </c>
      <c r="C14" s="8" t="s">
        <v>252</v>
      </c>
    </row>
    <row r="15" spans="1:3" ht="31.5" customHeight="1" x14ac:dyDescent="0.3">
      <c r="A15" s="8" t="s">
        <v>67</v>
      </c>
      <c r="B15" s="8" t="s">
        <v>253</v>
      </c>
      <c r="C15" s="8" t="s">
        <v>250</v>
      </c>
    </row>
    <row r="16" spans="1:3" ht="31.5" customHeight="1" x14ac:dyDescent="0.3">
      <c r="A16" s="8" t="s">
        <v>68</v>
      </c>
      <c r="B16" s="8" t="s">
        <v>254</v>
      </c>
      <c r="C16" s="8" t="s">
        <v>252</v>
      </c>
    </row>
    <row r="17" spans="1:3" ht="31.5" customHeight="1" x14ac:dyDescent="0.3">
      <c r="A17" s="8" t="s">
        <v>255</v>
      </c>
      <c r="B17" s="8" t="s">
        <v>256</v>
      </c>
      <c r="C17" s="8" t="s">
        <v>257</v>
      </c>
    </row>
    <row r="18" spans="1:3" ht="31.5" customHeight="1" x14ac:dyDescent="0.3">
      <c r="A18" s="21" t="s">
        <v>258</v>
      </c>
      <c r="B18" s="21" t="s">
        <v>259</v>
      </c>
      <c r="C18" s="21" t="s">
        <v>260</v>
      </c>
    </row>
    <row r="19" spans="1:3" ht="31.5" customHeight="1" x14ac:dyDescent="0.3">
      <c r="A19" s="21" t="s">
        <v>71</v>
      </c>
      <c r="B19" s="21" t="s">
        <v>261</v>
      </c>
      <c r="C19" s="21" t="s">
        <v>260</v>
      </c>
    </row>
    <row r="20" spans="1:3" ht="31.5" customHeight="1" x14ac:dyDescent="0.3">
      <c r="A20" s="8" t="s">
        <v>72</v>
      </c>
      <c r="B20" s="8" t="s">
        <v>262</v>
      </c>
      <c r="C20" s="8" t="s">
        <v>263</v>
      </c>
    </row>
    <row r="21" spans="1:3" ht="31.5" customHeight="1" x14ac:dyDescent="0.3">
      <c r="A21" s="8" t="s">
        <v>73</v>
      </c>
      <c r="B21" s="8" t="s">
        <v>264</v>
      </c>
      <c r="C21" s="8" t="s">
        <v>265</v>
      </c>
    </row>
    <row r="22" spans="1:3" ht="31.5" customHeight="1" x14ac:dyDescent="0.3">
      <c r="A22" s="8" t="s">
        <v>74</v>
      </c>
      <c r="B22" s="8" t="s">
        <v>266</v>
      </c>
      <c r="C22" s="8" t="s">
        <v>267</v>
      </c>
    </row>
    <row r="23" spans="1:3" ht="31.5" customHeight="1" x14ac:dyDescent="0.3">
      <c r="A23" s="8" t="s">
        <v>15</v>
      </c>
      <c r="B23" s="8" t="s">
        <v>268</v>
      </c>
      <c r="C23" s="8" t="s">
        <v>269</v>
      </c>
    </row>
    <row r="24" spans="1:3" ht="31.5" customHeight="1" x14ac:dyDescent="0.3">
      <c r="A24" s="8" t="s">
        <v>75</v>
      </c>
      <c r="B24" s="8" t="s">
        <v>270</v>
      </c>
      <c r="C24" s="8" t="s">
        <v>260</v>
      </c>
    </row>
    <row r="25" spans="1:3" ht="31.5" customHeight="1" x14ac:dyDescent="0.3">
      <c r="A25" s="8" t="s">
        <v>28</v>
      </c>
      <c r="B25" s="8" t="s">
        <v>271</v>
      </c>
      <c r="C25" s="8" t="s">
        <v>260</v>
      </c>
    </row>
    <row r="26" spans="1:3" ht="31.5" customHeight="1" x14ac:dyDescent="0.3">
      <c r="A26" s="8" t="s">
        <v>29</v>
      </c>
      <c r="B26" s="8" t="s">
        <v>272</v>
      </c>
      <c r="C26" s="8" t="s">
        <v>260</v>
      </c>
    </row>
    <row r="27" spans="1:3" ht="31.5" customHeight="1" x14ac:dyDescent="0.3">
      <c r="A27" s="8" t="s">
        <v>273</v>
      </c>
      <c r="B27" s="8" t="s">
        <v>274</v>
      </c>
      <c r="C27" s="8" t="s">
        <v>269</v>
      </c>
    </row>
    <row r="28" spans="1:3" ht="15" customHeight="1" x14ac:dyDescent="0.3"/>
    <row r="29" spans="1:3" ht="15" customHeight="1" x14ac:dyDescent="0.3"/>
    <row r="30" spans="1:3" ht="15" customHeight="1" x14ac:dyDescent="0.3">
      <c r="A30" s="6" t="s">
        <v>275</v>
      </c>
    </row>
    <row r="31" spans="1:3" ht="15" customHeight="1" x14ac:dyDescent="0.3">
      <c r="A31" s="5" t="s">
        <v>276</v>
      </c>
      <c r="B31" s="5" t="s">
        <v>277</v>
      </c>
      <c r="C31" s="5" t="s">
        <v>278</v>
      </c>
    </row>
    <row r="32" spans="1:3" ht="15" customHeight="1" x14ac:dyDescent="0.3">
      <c r="A32" s="5" t="s">
        <v>6</v>
      </c>
      <c r="B32" s="5" t="s">
        <v>279</v>
      </c>
      <c r="C32" s="5" t="s">
        <v>280</v>
      </c>
    </row>
    <row r="33" spans="1:3" ht="15" customHeight="1" x14ac:dyDescent="0.3">
      <c r="A33" s="5" t="s">
        <v>281</v>
      </c>
      <c r="B33" s="5" t="s">
        <v>282</v>
      </c>
      <c r="C33" s="5" t="s">
        <v>283</v>
      </c>
    </row>
    <row r="34" spans="1:3" ht="15" customHeight="1" x14ac:dyDescent="0.3">
      <c r="A34" s="5" t="s">
        <v>284</v>
      </c>
      <c r="B34" s="5" t="s">
        <v>285</v>
      </c>
      <c r="C34" s="5" t="s">
        <v>286</v>
      </c>
    </row>
    <row r="35" spans="1:3" ht="15" customHeight="1" x14ac:dyDescent="0.3">
      <c r="A35" t="s">
        <v>13</v>
      </c>
      <c r="B35" t="s">
        <v>287</v>
      </c>
      <c r="C35" t="s">
        <v>288</v>
      </c>
    </row>
    <row r="36" spans="1:3" ht="15" customHeight="1" x14ac:dyDescent="0.3">
      <c r="A36" s="5" t="s">
        <v>289</v>
      </c>
      <c r="B36" s="5" t="s">
        <v>290</v>
      </c>
      <c r="C36" s="5" t="s">
        <v>291</v>
      </c>
    </row>
    <row r="37" spans="1:3" ht="15" customHeight="1" x14ac:dyDescent="0.3">
      <c r="A37" s="5" t="s">
        <v>292</v>
      </c>
      <c r="B37" s="5" t="s">
        <v>293</v>
      </c>
      <c r="C37" s="5" t="s">
        <v>294</v>
      </c>
    </row>
    <row r="38" spans="1:3" ht="15" customHeight="1" x14ac:dyDescent="0.3">
      <c r="A38" s="5" t="s">
        <v>295</v>
      </c>
      <c r="B38" s="5" t="s">
        <v>296</v>
      </c>
      <c r="C38" s="5" t="s">
        <v>297</v>
      </c>
    </row>
    <row r="39" spans="1:3" ht="15" customHeight="1" x14ac:dyDescent="0.3"/>
    <row r="40" spans="1:3" ht="15" customHeight="1" x14ac:dyDescent="0.3">
      <c r="A40" s="6" t="s">
        <v>298</v>
      </c>
    </row>
    <row r="41" spans="1:3" ht="15" customHeight="1" x14ac:dyDescent="0.3">
      <c r="A41" s="5" t="s">
        <v>299</v>
      </c>
    </row>
    <row r="42" spans="1:3" ht="15" customHeight="1" x14ac:dyDescent="0.3">
      <c r="A42" s="5" t="s">
        <v>300</v>
      </c>
    </row>
    <row r="43" spans="1:3" ht="15" customHeight="1" x14ac:dyDescent="0.3">
      <c r="A43" s="6" t="s">
        <v>301</v>
      </c>
    </row>
    <row r="44" spans="1:3" ht="15" customHeight="1" x14ac:dyDescent="0.3">
      <c r="A44" s="5" t="s">
        <v>302</v>
      </c>
    </row>
    <row r="45" spans="1:3" ht="15" customHeight="1" x14ac:dyDescent="0.3">
      <c r="A45" s="5" t="s">
        <v>303</v>
      </c>
    </row>
    <row r="46" spans="1:3" ht="15" customHeight="1" x14ac:dyDescent="0.3">
      <c r="A46" s="5" t="s">
        <v>304</v>
      </c>
    </row>
    <row r="47" spans="1:3" ht="15" customHeight="1" x14ac:dyDescent="0.3">
      <c r="A47" s="5" t="s">
        <v>305</v>
      </c>
    </row>
    <row r="48" spans="1:3" ht="15" customHeight="1" x14ac:dyDescent="0.3">
      <c r="A48" s="5" t="s">
        <v>306</v>
      </c>
    </row>
    <row r="49" spans="1:1" ht="15" customHeight="1" x14ac:dyDescent="0.3"/>
    <row r="50" spans="1:1" ht="15" customHeight="1" x14ac:dyDescent="0.3"/>
    <row r="51" spans="1:1" ht="15" customHeight="1" x14ac:dyDescent="0.3">
      <c r="A51" s="28" t="s">
        <v>44</v>
      </c>
    </row>
    <row r="52" spans="1:1" ht="15" customHeight="1" x14ac:dyDescent="0.3">
      <c r="A52" s="29" t="s">
        <v>307</v>
      </c>
    </row>
    <row r="53" spans="1:1" ht="15" customHeight="1" x14ac:dyDescent="0.3">
      <c r="A53" s="29" t="s">
        <v>308</v>
      </c>
    </row>
    <row r="54" spans="1:1" ht="15" customHeight="1" x14ac:dyDescent="0.3">
      <c r="A54" s="29" t="s">
        <v>309</v>
      </c>
    </row>
    <row r="55" spans="1:1" ht="15" customHeight="1" x14ac:dyDescent="0.3">
      <c r="A55" s="29" t="s">
        <v>310</v>
      </c>
    </row>
    <row r="56" spans="1:1" ht="15" customHeight="1" x14ac:dyDescent="0.3">
      <c r="A56" s="29" t="s">
        <v>311</v>
      </c>
    </row>
    <row r="57" spans="1:1" ht="15" customHeight="1" x14ac:dyDescent="0.3">
      <c r="A57" s="29" t="s">
        <v>312</v>
      </c>
    </row>
    <row r="58" spans="1:1" ht="15" customHeight="1" x14ac:dyDescent="0.3">
      <c r="A58" s="29" t="s">
        <v>141</v>
      </c>
    </row>
    <row r="59" spans="1:1" ht="15" customHeight="1" x14ac:dyDescent="0.3">
      <c r="A59" s="30" t="s">
        <v>142</v>
      </c>
    </row>
    <row r="60" spans="1:1" ht="15" customHeight="1" x14ac:dyDescent="0.3">
      <c r="A60" s="30" t="s">
        <v>143</v>
      </c>
    </row>
    <row r="61" spans="1:1" ht="15" customHeight="1" x14ac:dyDescent="0.3">
      <c r="A61" s="30" t="s">
        <v>47</v>
      </c>
    </row>
    <row r="62" spans="1:1" ht="15" customHeight="1" x14ac:dyDescent="0.3">
      <c r="A62" s="30" t="s">
        <v>48</v>
      </c>
    </row>
    <row r="63" spans="1:1" ht="15" customHeight="1" x14ac:dyDescent="0.3">
      <c r="A63" s="30" t="s">
        <v>313</v>
      </c>
    </row>
    <row r="64" spans="1:1" ht="15" customHeight="1" x14ac:dyDescent="0.3">
      <c r="A64" s="30" t="s">
        <v>49</v>
      </c>
    </row>
    <row r="65" spans="1:1" ht="15" customHeight="1" x14ac:dyDescent="0.3">
      <c r="A65" s="30" t="s">
        <v>314</v>
      </c>
    </row>
    <row r="66" spans="1:1" ht="15" customHeight="1" x14ac:dyDescent="0.3">
      <c r="A66" s="30" t="s">
        <v>50</v>
      </c>
    </row>
    <row r="67" spans="1:1" ht="15" customHeight="1" x14ac:dyDescent="0.3">
      <c r="A67" s="30" t="s">
        <v>51</v>
      </c>
    </row>
    <row r="68" spans="1:1" ht="15" customHeight="1" x14ac:dyDescent="0.3">
      <c r="A68" s="31" t="s">
        <v>52</v>
      </c>
    </row>
    <row r="69" spans="1:1" x14ac:dyDescent="0.3">
      <c r="A69" s="31" t="s">
        <v>53</v>
      </c>
    </row>
    <row r="70" spans="1:1" x14ac:dyDescent="0.3">
      <c r="A70" s="66" t="s">
        <v>54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Proposal Funds Allocation</vt:lpstr>
      <vt:lpstr>Transaction Ledger</vt:lpstr>
      <vt:lpstr>Trading Fees and Gas</vt:lpstr>
      <vt:lpstr>Signer Fees</vt:lpstr>
      <vt:lpstr>Verification Links</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monte</cp:lastModifiedBy>
  <cp:revision>1</cp:revision>
  <dcterms:created xsi:type="dcterms:W3CDTF">2026-10-17T15:18:05Z</dcterms:created>
  <dcterms:modified xsi:type="dcterms:W3CDTF">2026-10-17T16:40:36Z</dcterms:modified>
  <cp:category/>
  <dc:language>en-US</dc:language>
</cp:coreProperties>
</file>